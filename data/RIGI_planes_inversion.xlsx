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ucasordonez/Investigación/Tasks JCH/RIGI/base de datos/planes_de_inversion_RIGI/"/>
    </mc:Choice>
  </mc:AlternateContent>
  <xr:revisionPtr revIDLastSave="0" documentId="13_ncr:1_{1BB4956F-182D-F247-AD48-DFF7F93AB0D0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Datos_long" sheetId="1" r:id="rId1"/>
    <sheet name="Datos_wide" sheetId="2" r:id="rId2"/>
    <sheet name="Validaciones" sheetId="3" r:id="rId3"/>
    <sheet name="Meta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C13" i="3"/>
  <c r="D13" i="3" s="1"/>
  <c r="AA12" i="3"/>
  <c r="AA11" i="3"/>
  <c r="AA10" i="3"/>
  <c r="AA9" i="3"/>
  <c r="AA8" i="3"/>
  <c r="AA7" i="3"/>
  <c r="AA6" i="3"/>
  <c r="AA5" i="3"/>
  <c r="AA4" i="3"/>
  <c r="AA3" i="3"/>
  <c r="AA2" i="3"/>
  <c r="M34" i="2"/>
  <c r="L34" i="2"/>
  <c r="K34" i="2"/>
  <c r="J34" i="2"/>
  <c r="I34" i="2"/>
  <c r="H34" i="2"/>
  <c r="G34" i="2"/>
  <c r="F34" i="2"/>
  <c r="S34" i="3" s="1"/>
  <c r="T34" i="3" s="1"/>
  <c r="U34" i="3" s="1"/>
  <c r="E34" i="2"/>
  <c r="O34" i="3" s="1"/>
  <c r="P34" i="3" s="1"/>
  <c r="Q34" i="3" s="1"/>
  <c r="D34" i="2"/>
  <c r="K34" i="3" s="1"/>
  <c r="L34" i="3" s="1"/>
  <c r="M34" i="3" s="1"/>
  <c r="C34" i="2"/>
  <c r="G34" i="3" s="1"/>
  <c r="H34" i="3" s="1"/>
  <c r="I34" i="3" s="1"/>
  <c r="B34" i="2"/>
  <c r="M33" i="2"/>
  <c r="L33" i="2"/>
  <c r="K33" i="2"/>
  <c r="J33" i="2"/>
  <c r="I33" i="2"/>
  <c r="H33" i="2"/>
  <c r="G33" i="2"/>
  <c r="F33" i="2"/>
  <c r="S33" i="3" s="1"/>
  <c r="T33" i="3" s="1"/>
  <c r="U33" i="3" s="1"/>
  <c r="E33" i="2"/>
  <c r="O33" i="3" s="1"/>
  <c r="P33" i="3" s="1"/>
  <c r="Q33" i="3" s="1"/>
  <c r="D33" i="2"/>
  <c r="K33" i="3" s="1"/>
  <c r="L33" i="3" s="1"/>
  <c r="M33" i="3" s="1"/>
  <c r="C33" i="2"/>
  <c r="G33" i="3" s="1"/>
  <c r="H33" i="3" s="1"/>
  <c r="I33" i="3" s="1"/>
  <c r="B33" i="2"/>
  <c r="M32" i="2"/>
  <c r="L32" i="2"/>
  <c r="K32" i="2"/>
  <c r="J32" i="2"/>
  <c r="I32" i="2"/>
  <c r="H32" i="2"/>
  <c r="G32" i="2"/>
  <c r="F32" i="2"/>
  <c r="S32" i="3" s="1"/>
  <c r="T32" i="3" s="1"/>
  <c r="U32" i="3" s="1"/>
  <c r="E32" i="2"/>
  <c r="O32" i="3" s="1"/>
  <c r="P32" i="3" s="1"/>
  <c r="Q32" i="3" s="1"/>
  <c r="D32" i="2"/>
  <c r="K32" i="3" s="1"/>
  <c r="L32" i="3" s="1"/>
  <c r="M32" i="3" s="1"/>
  <c r="C32" i="2"/>
  <c r="G32" i="3" s="1"/>
  <c r="H32" i="3" s="1"/>
  <c r="I32" i="3" s="1"/>
  <c r="B32" i="2"/>
  <c r="M31" i="2"/>
  <c r="L31" i="2"/>
  <c r="K31" i="2"/>
  <c r="J31" i="2"/>
  <c r="I31" i="2"/>
  <c r="H31" i="2"/>
  <c r="G31" i="2"/>
  <c r="F31" i="2"/>
  <c r="S31" i="3" s="1"/>
  <c r="T31" i="3" s="1"/>
  <c r="U31" i="3" s="1"/>
  <c r="E31" i="2"/>
  <c r="O31" i="3" s="1"/>
  <c r="P31" i="3" s="1"/>
  <c r="Q31" i="3" s="1"/>
  <c r="D31" i="2"/>
  <c r="K31" i="3" s="1"/>
  <c r="L31" i="3" s="1"/>
  <c r="M31" i="3" s="1"/>
  <c r="C31" i="2"/>
  <c r="G31" i="3" s="1"/>
  <c r="H31" i="3" s="1"/>
  <c r="I31" i="3" s="1"/>
  <c r="B31" i="2"/>
  <c r="M30" i="2"/>
  <c r="L30" i="2"/>
  <c r="K30" i="2"/>
  <c r="J30" i="2"/>
  <c r="I30" i="2"/>
  <c r="H30" i="2"/>
  <c r="G30" i="2"/>
  <c r="F30" i="2"/>
  <c r="S30" i="3" s="1"/>
  <c r="T30" i="3" s="1"/>
  <c r="U30" i="3" s="1"/>
  <c r="E30" i="2"/>
  <c r="O30" i="3" s="1"/>
  <c r="P30" i="3" s="1"/>
  <c r="Q30" i="3" s="1"/>
  <c r="D30" i="2"/>
  <c r="K30" i="3" s="1"/>
  <c r="L30" i="3" s="1"/>
  <c r="M30" i="3" s="1"/>
  <c r="C30" i="2"/>
  <c r="G30" i="3" s="1"/>
  <c r="H30" i="3" s="1"/>
  <c r="I30" i="3" s="1"/>
  <c r="B30" i="2"/>
  <c r="M29" i="2"/>
  <c r="L29" i="2"/>
  <c r="K29" i="2"/>
  <c r="J29" i="2"/>
  <c r="I29" i="2"/>
  <c r="H29" i="2"/>
  <c r="G29" i="2"/>
  <c r="F29" i="2"/>
  <c r="S29" i="3" s="1"/>
  <c r="T29" i="3" s="1"/>
  <c r="U29" i="3" s="1"/>
  <c r="E29" i="2"/>
  <c r="O29" i="3" s="1"/>
  <c r="P29" i="3" s="1"/>
  <c r="Q29" i="3" s="1"/>
  <c r="D29" i="2"/>
  <c r="K29" i="3" s="1"/>
  <c r="L29" i="3" s="1"/>
  <c r="M29" i="3" s="1"/>
  <c r="C29" i="2"/>
  <c r="G29" i="3" s="1"/>
  <c r="H29" i="3" s="1"/>
  <c r="I29" i="3" s="1"/>
  <c r="B29" i="2"/>
  <c r="M28" i="2"/>
  <c r="L28" i="2"/>
  <c r="K28" i="2"/>
  <c r="J28" i="2"/>
  <c r="I28" i="2"/>
  <c r="H28" i="2"/>
  <c r="G28" i="2"/>
  <c r="F28" i="2"/>
  <c r="S28" i="3" s="1"/>
  <c r="T28" i="3" s="1"/>
  <c r="U28" i="3" s="1"/>
  <c r="E28" i="2"/>
  <c r="O28" i="3" s="1"/>
  <c r="P28" i="3" s="1"/>
  <c r="Q28" i="3" s="1"/>
  <c r="D28" i="2"/>
  <c r="K28" i="3" s="1"/>
  <c r="L28" i="3" s="1"/>
  <c r="M28" i="3" s="1"/>
  <c r="C28" i="2"/>
  <c r="G28" i="3" s="1"/>
  <c r="H28" i="3" s="1"/>
  <c r="I28" i="3" s="1"/>
  <c r="B28" i="2"/>
  <c r="M27" i="2"/>
  <c r="L27" i="2"/>
  <c r="K27" i="2"/>
  <c r="J27" i="2"/>
  <c r="I27" i="2"/>
  <c r="H27" i="2"/>
  <c r="G27" i="2"/>
  <c r="F27" i="2"/>
  <c r="S27" i="3" s="1"/>
  <c r="T27" i="3" s="1"/>
  <c r="U27" i="3" s="1"/>
  <c r="E27" i="2"/>
  <c r="O27" i="3" s="1"/>
  <c r="P27" i="3" s="1"/>
  <c r="Q27" i="3" s="1"/>
  <c r="D27" i="2"/>
  <c r="K27" i="3" s="1"/>
  <c r="L27" i="3" s="1"/>
  <c r="M27" i="3" s="1"/>
  <c r="C27" i="2"/>
  <c r="G27" i="3" s="1"/>
  <c r="H27" i="3" s="1"/>
  <c r="I27" i="3" s="1"/>
  <c r="B27" i="2"/>
  <c r="N26" i="2"/>
  <c r="W26" i="3" s="1"/>
  <c r="X26" i="3" s="1"/>
  <c r="Y26" i="3" s="1"/>
  <c r="M26" i="2"/>
  <c r="L26" i="2"/>
  <c r="K26" i="2"/>
  <c r="J26" i="2"/>
  <c r="I26" i="2"/>
  <c r="H26" i="2"/>
  <c r="G26" i="2"/>
  <c r="F26" i="2"/>
  <c r="S26" i="3" s="1"/>
  <c r="T26" i="3" s="1"/>
  <c r="U26" i="3" s="1"/>
  <c r="E26" i="2"/>
  <c r="O26" i="3" s="1"/>
  <c r="P26" i="3" s="1"/>
  <c r="Q26" i="3" s="1"/>
  <c r="D26" i="2"/>
  <c r="K26" i="3" s="1"/>
  <c r="L26" i="3" s="1"/>
  <c r="M26" i="3" s="1"/>
  <c r="C26" i="2"/>
  <c r="G26" i="3" s="1"/>
  <c r="H26" i="3" s="1"/>
  <c r="I26" i="3" s="1"/>
  <c r="B26" i="2"/>
  <c r="M25" i="2"/>
  <c r="L25" i="2"/>
  <c r="K25" i="2"/>
  <c r="J25" i="2"/>
  <c r="I25" i="2"/>
  <c r="H25" i="2"/>
  <c r="G25" i="2"/>
  <c r="F25" i="2"/>
  <c r="S25" i="3" s="1"/>
  <c r="T25" i="3" s="1"/>
  <c r="U25" i="3" s="1"/>
  <c r="E25" i="2"/>
  <c r="O25" i="3" s="1"/>
  <c r="P25" i="3" s="1"/>
  <c r="Q25" i="3" s="1"/>
  <c r="D25" i="2"/>
  <c r="K25" i="3" s="1"/>
  <c r="L25" i="3" s="1"/>
  <c r="M25" i="3" s="1"/>
  <c r="C25" i="2"/>
  <c r="G25" i="3" s="1"/>
  <c r="H25" i="3" s="1"/>
  <c r="I25" i="3" s="1"/>
  <c r="B25" i="2"/>
  <c r="M24" i="2"/>
  <c r="L24" i="2"/>
  <c r="K24" i="2"/>
  <c r="J24" i="2"/>
  <c r="I24" i="2"/>
  <c r="H24" i="2"/>
  <c r="G24" i="2"/>
  <c r="F24" i="2"/>
  <c r="S24" i="3" s="1"/>
  <c r="T24" i="3" s="1"/>
  <c r="U24" i="3" s="1"/>
  <c r="E24" i="2"/>
  <c r="O24" i="3" s="1"/>
  <c r="P24" i="3" s="1"/>
  <c r="Q24" i="3" s="1"/>
  <c r="D24" i="2"/>
  <c r="K24" i="3" s="1"/>
  <c r="L24" i="3" s="1"/>
  <c r="M24" i="3" s="1"/>
  <c r="C24" i="2"/>
  <c r="G24" i="3" s="1"/>
  <c r="H24" i="3" s="1"/>
  <c r="I24" i="3" s="1"/>
  <c r="B24" i="2"/>
  <c r="M23" i="2"/>
  <c r="L23" i="2"/>
  <c r="K23" i="2"/>
  <c r="J23" i="2"/>
  <c r="I23" i="2"/>
  <c r="H23" i="2"/>
  <c r="G23" i="2"/>
  <c r="F23" i="2"/>
  <c r="S23" i="3" s="1"/>
  <c r="T23" i="3" s="1"/>
  <c r="U23" i="3" s="1"/>
  <c r="E23" i="2"/>
  <c r="O23" i="3" s="1"/>
  <c r="P23" i="3" s="1"/>
  <c r="Q23" i="3" s="1"/>
  <c r="D23" i="2"/>
  <c r="K23" i="3" s="1"/>
  <c r="L23" i="3" s="1"/>
  <c r="M23" i="3" s="1"/>
  <c r="C23" i="2"/>
  <c r="G23" i="3" s="1"/>
  <c r="H23" i="3" s="1"/>
  <c r="I23" i="3" s="1"/>
  <c r="B23" i="2"/>
  <c r="M22" i="2"/>
  <c r="L22" i="2"/>
  <c r="K22" i="2"/>
  <c r="J22" i="2"/>
  <c r="I22" i="2"/>
  <c r="H22" i="2"/>
  <c r="G22" i="2"/>
  <c r="F22" i="2"/>
  <c r="S22" i="3" s="1"/>
  <c r="T22" i="3" s="1"/>
  <c r="U22" i="3" s="1"/>
  <c r="E22" i="2"/>
  <c r="O22" i="3" s="1"/>
  <c r="P22" i="3" s="1"/>
  <c r="Q22" i="3" s="1"/>
  <c r="D22" i="2"/>
  <c r="K22" i="3" s="1"/>
  <c r="L22" i="3" s="1"/>
  <c r="M22" i="3" s="1"/>
  <c r="C22" i="2"/>
  <c r="G22" i="3" s="1"/>
  <c r="H22" i="3" s="1"/>
  <c r="I22" i="3" s="1"/>
  <c r="B22" i="2"/>
  <c r="M21" i="2"/>
  <c r="L21" i="2"/>
  <c r="K21" i="2"/>
  <c r="J21" i="2"/>
  <c r="I21" i="2"/>
  <c r="H21" i="2"/>
  <c r="G21" i="2"/>
  <c r="F21" i="2"/>
  <c r="S21" i="3" s="1"/>
  <c r="T21" i="3" s="1"/>
  <c r="U21" i="3" s="1"/>
  <c r="E21" i="2"/>
  <c r="O21" i="3" s="1"/>
  <c r="P21" i="3" s="1"/>
  <c r="Q21" i="3" s="1"/>
  <c r="D21" i="2"/>
  <c r="K21" i="3" s="1"/>
  <c r="L21" i="3" s="1"/>
  <c r="M21" i="3" s="1"/>
  <c r="C21" i="2"/>
  <c r="G21" i="3" s="1"/>
  <c r="H21" i="3" s="1"/>
  <c r="I21" i="3" s="1"/>
  <c r="B21" i="2"/>
  <c r="M20" i="2"/>
  <c r="L20" i="2"/>
  <c r="K20" i="2"/>
  <c r="J20" i="2"/>
  <c r="I20" i="2"/>
  <c r="H20" i="2"/>
  <c r="G20" i="2"/>
  <c r="F20" i="2"/>
  <c r="S20" i="3" s="1"/>
  <c r="T20" i="3" s="1"/>
  <c r="U20" i="3" s="1"/>
  <c r="E20" i="2"/>
  <c r="O20" i="3" s="1"/>
  <c r="P20" i="3" s="1"/>
  <c r="Q20" i="3" s="1"/>
  <c r="D20" i="2"/>
  <c r="K20" i="3" s="1"/>
  <c r="L20" i="3" s="1"/>
  <c r="M20" i="3" s="1"/>
  <c r="C20" i="2"/>
  <c r="G20" i="3" s="1"/>
  <c r="H20" i="3" s="1"/>
  <c r="I20" i="3" s="1"/>
  <c r="B20" i="2"/>
  <c r="M19" i="2"/>
  <c r="L19" i="2"/>
  <c r="K19" i="2"/>
  <c r="J19" i="2"/>
  <c r="I19" i="2"/>
  <c r="H19" i="2"/>
  <c r="G19" i="2"/>
  <c r="F19" i="2"/>
  <c r="S19" i="3" s="1"/>
  <c r="T19" i="3" s="1"/>
  <c r="U19" i="3" s="1"/>
  <c r="E19" i="2"/>
  <c r="O19" i="3" s="1"/>
  <c r="P19" i="3" s="1"/>
  <c r="Q19" i="3" s="1"/>
  <c r="D19" i="2"/>
  <c r="K19" i="3" s="1"/>
  <c r="L19" i="3" s="1"/>
  <c r="M19" i="3" s="1"/>
  <c r="C19" i="2"/>
  <c r="G19" i="3" s="1"/>
  <c r="H19" i="3" s="1"/>
  <c r="I19" i="3" s="1"/>
  <c r="B19" i="2"/>
  <c r="M18" i="2"/>
  <c r="L18" i="2"/>
  <c r="K18" i="2"/>
  <c r="J18" i="2"/>
  <c r="I18" i="2"/>
  <c r="H18" i="2"/>
  <c r="G18" i="2"/>
  <c r="F18" i="2"/>
  <c r="S18" i="3" s="1"/>
  <c r="T18" i="3" s="1"/>
  <c r="U18" i="3" s="1"/>
  <c r="E18" i="2"/>
  <c r="O18" i="3" s="1"/>
  <c r="P18" i="3" s="1"/>
  <c r="Q18" i="3" s="1"/>
  <c r="D18" i="2"/>
  <c r="K18" i="3" s="1"/>
  <c r="L18" i="3" s="1"/>
  <c r="M18" i="3" s="1"/>
  <c r="C18" i="2"/>
  <c r="G18" i="3" s="1"/>
  <c r="H18" i="3" s="1"/>
  <c r="I18" i="3" s="1"/>
  <c r="B18" i="2"/>
  <c r="M17" i="2"/>
  <c r="L17" i="2"/>
  <c r="K17" i="2"/>
  <c r="J17" i="2"/>
  <c r="I17" i="2"/>
  <c r="H17" i="2"/>
  <c r="G17" i="2"/>
  <c r="F17" i="2"/>
  <c r="S17" i="3" s="1"/>
  <c r="T17" i="3" s="1"/>
  <c r="U17" i="3" s="1"/>
  <c r="E17" i="2"/>
  <c r="O17" i="3" s="1"/>
  <c r="P17" i="3" s="1"/>
  <c r="Q17" i="3" s="1"/>
  <c r="D17" i="2"/>
  <c r="K17" i="3" s="1"/>
  <c r="L17" i="3" s="1"/>
  <c r="M17" i="3" s="1"/>
  <c r="C17" i="2"/>
  <c r="G17" i="3" s="1"/>
  <c r="H17" i="3" s="1"/>
  <c r="I17" i="3" s="1"/>
  <c r="B17" i="2"/>
  <c r="M16" i="2"/>
  <c r="L16" i="2"/>
  <c r="K16" i="2"/>
  <c r="J16" i="2"/>
  <c r="I16" i="2"/>
  <c r="H16" i="2"/>
  <c r="G16" i="2"/>
  <c r="F16" i="2"/>
  <c r="S16" i="3" s="1"/>
  <c r="T16" i="3" s="1"/>
  <c r="U16" i="3" s="1"/>
  <c r="E16" i="2"/>
  <c r="O16" i="3" s="1"/>
  <c r="P16" i="3" s="1"/>
  <c r="Q16" i="3" s="1"/>
  <c r="D16" i="2"/>
  <c r="K16" i="3" s="1"/>
  <c r="L16" i="3" s="1"/>
  <c r="M16" i="3" s="1"/>
  <c r="C16" i="2"/>
  <c r="G16" i="3" s="1"/>
  <c r="H16" i="3" s="1"/>
  <c r="I16" i="3" s="1"/>
  <c r="B16" i="2"/>
  <c r="M15" i="2"/>
  <c r="L15" i="2"/>
  <c r="K15" i="2"/>
  <c r="J15" i="2"/>
  <c r="I15" i="2"/>
  <c r="H15" i="2"/>
  <c r="G15" i="2"/>
  <c r="F15" i="2"/>
  <c r="S15" i="3" s="1"/>
  <c r="T15" i="3" s="1"/>
  <c r="U15" i="3" s="1"/>
  <c r="E15" i="2"/>
  <c r="O15" i="3" s="1"/>
  <c r="P15" i="3" s="1"/>
  <c r="Q15" i="3" s="1"/>
  <c r="D15" i="2"/>
  <c r="K15" i="3" s="1"/>
  <c r="L15" i="3" s="1"/>
  <c r="M15" i="3" s="1"/>
  <c r="C15" i="2"/>
  <c r="G15" i="3" s="1"/>
  <c r="H15" i="3" s="1"/>
  <c r="I15" i="3" s="1"/>
  <c r="B15" i="2"/>
  <c r="M14" i="2"/>
  <c r="L14" i="2"/>
  <c r="K14" i="2"/>
  <c r="J14" i="2"/>
  <c r="I14" i="2"/>
  <c r="H14" i="2"/>
  <c r="G14" i="2"/>
  <c r="F14" i="2"/>
  <c r="S14" i="3" s="1"/>
  <c r="T14" i="3" s="1"/>
  <c r="U14" i="3" s="1"/>
  <c r="E14" i="2"/>
  <c r="O14" i="3" s="1"/>
  <c r="P14" i="3" s="1"/>
  <c r="Q14" i="3" s="1"/>
  <c r="D14" i="2"/>
  <c r="K14" i="3" s="1"/>
  <c r="L14" i="3" s="1"/>
  <c r="M14" i="3" s="1"/>
  <c r="C14" i="2"/>
  <c r="G14" i="3" s="1"/>
  <c r="H14" i="3" s="1"/>
  <c r="I14" i="3" s="1"/>
  <c r="B14" i="2"/>
  <c r="M13" i="2"/>
  <c r="L13" i="2"/>
  <c r="K13" i="2"/>
  <c r="J13" i="2"/>
  <c r="I13" i="2"/>
  <c r="H13" i="2"/>
  <c r="G13" i="2"/>
  <c r="F13" i="2"/>
  <c r="S13" i="3" s="1"/>
  <c r="T13" i="3" s="1"/>
  <c r="U13" i="3" s="1"/>
  <c r="E13" i="2"/>
  <c r="O13" i="3" s="1"/>
  <c r="P13" i="3" s="1"/>
  <c r="Q13" i="3" s="1"/>
  <c r="D13" i="2"/>
  <c r="K13" i="3" s="1"/>
  <c r="L13" i="3" s="1"/>
  <c r="M13" i="3" s="1"/>
  <c r="C13" i="2"/>
  <c r="B13" i="2"/>
  <c r="M12" i="2"/>
  <c r="L12" i="2"/>
  <c r="K12" i="2"/>
  <c r="J12" i="2"/>
  <c r="I12" i="2"/>
  <c r="H12" i="2"/>
  <c r="G12" i="2"/>
  <c r="F12" i="2"/>
  <c r="S12" i="3" s="1"/>
  <c r="T12" i="3" s="1"/>
  <c r="U12" i="3" s="1"/>
  <c r="E12" i="2"/>
  <c r="O12" i="3" s="1"/>
  <c r="P12" i="3" s="1"/>
  <c r="Q12" i="3" s="1"/>
  <c r="D12" i="2"/>
  <c r="K12" i="3" s="1"/>
  <c r="L12" i="3" s="1"/>
  <c r="M12" i="3" s="1"/>
  <c r="C12" i="2"/>
  <c r="G12" i="3" s="1"/>
  <c r="H12" i="3" s="1"/>
  <c r="I12" i="3" s="1"/>
  <c r="B12" i="2"/>
  <c r="M11" i="2"/>
  <c r="L11" i="2"/>
  <c r="K11" i="2"/>
  <c r="J11" i="2"/>
  <c r="I11" i="2"/>
  <c r="H11" i="2"/>
  <c r="G11" i="2"/>
  <c r="F11" i="2"/>
  <c r="S11" i="3" s="1"/>
  <c r="T11" i="3" s="1"/>
  <c r="U11" i="3" s="1"/>
  <c r="E11" i="2"/>
  <c r="O11" i="3" s="1"/>
  <c r="P11" i="3" s="1"/>
  <c r="Q11" i="3" s="1"/>
  <c r="D11" i="2"/>
  <c r="K11" i="3" s="1"/>
  <c r="L11" i="3" s="1"/>
  <c r="M11" i="3" s="1"/>
  <c r="C11" i="2"/>
  <c r="G11" i="3" s="1"/>
  <c r="H11" i="3" s="1"/>
  <c r="I11" i="3" s="1"/>
  <c r="B11" i="2"/>
  <c r="M10" i="2"/>
  <c r="L10" i="2"/>
  <c r="K10" i="2"/>
  <c r="J10" i="2"/>
  <c r="I10" i="2"/>
  <c r="H10" i="2"/>
  <c r="G10" i="2"/>
  <c r="F10" i="2"/>
  <c r="S10" i="3" s="1"/>
  <c r="T10" i="3" s="1"/>
  <c r="U10" i="3" s="1"/>
  <c r="E10" i="2"/>
  <c r="O10" i="3" s="1"/>
  <c r="P10" i="3" s="1"/>
  <c r="Q10" i="3" s="1"/>
  <c r="D10" i="2"/>
  <c r="K10" i="3" s="1"/>
  <c r="L10" i="3" s="1"/>
  <c r="M10" i="3" s="1"/>
  <c r="C10" i="2"/>
  <c r="G10" i="3" s="1"/>
  <c r="H10" i="3" s="1"/>
  <c r="I10" i="3" s="1"/>
  <c r="B10" i="2"/>
  <c r="M9" i="2"/>
  <c r="L9" i="2"/>
  <c r="K9" i="2"/>
  <c r="J9" i="2"/>
  <c r="I9" i="2"/>
  <c r="H9" i="2"/>
  <c r="G9" i="2"/>
  <c r="F9" i="2"/>
  <c r="S9" i="3" s="1"/>
  <c r="T9" i="3" s="1"/>
  <c r="U9" i="3" s="1"/>
  <c r="E9" i="2"/>
  <c r="O9" i="3" s="1"/>
  <c r="P9" i="3" s="1"/>
  <c r="Q9" i="3" s="1"/>
  <c r="D9" i="2"/>
  <c r="K9" i="3" s="1"/>
  <c r="L9" i="3" s="1"/>
  <c r="M9" i="3" s="1"/>
  <c r="C9" i="2"/>
  <c r="G9" i="3" s="1"/>
  <c r="H9" i="3" s="1"/>
  <c r="I9" i="3" s="1"/>
  <c r="B9" i="2"/>
  <c r="M8" i="2"/>
  <c r="L8" i="2"/>
  <c r="K8" i="2"/>
  <c r="J8" i="2"/>
  <c r="I8" i="2"/>
  <c r="H8" i="2"/>
  <c r="G8" i="2"/>
  <c r="F8" i="2"/>
  <c r="S8" i="3" s="1"/>
  <c r="T8" i="3" s="1"/>
  <c r="U8" i="3" s="1"/>
  <c r="E8" i="2"/>
  <c r="O8" i="3" s="1"/>
  <c r="P8" i="3" s="1"/>
  <c r="Q8" i="3" s="1"/>
  <c r="D8" i="2"/>
  <c r="K8" i="3" s="1"/>
  <c r="L8" i="3" s="1"/>
  <c r="M8" i="3" s="1"/>
  <c r="C8" i="2"/>
  <c r="G8" i="3" s="1"/>
  <c r="H8" i="3" s="1"/>
  <c r="I8" i="3" s="1"/>
  <c r="B8" i="2"/>
  <c r="M7" i="2"/>
  <c r="L7" i="2"/>
  <c r="K7" i="2"/>
  <c r="J7" i="2"/>
  <c r="I7" i="2"/>
  <c r="H7" i="2"/>
  <c r="G7" i="2"/>
  <c r="F7" i="2"/>
  <c r="S7" i="3" s="1"/>
  <c r="T7" i="3" s="1"/>
  <c r="U7" i="3" s="1"/>
  <c r="E7" i="2"/>
  <c r="O7" i="3" s="1"/>
  <c r="P7" i="3" s="1"/>
  <c r="Q7" i="3" s="1"/>
  <c r="D7" i="2"/>
  <c r="K7" i="3" s="1"/>
  <c r="L7" i="3" s="1"/>
  <c r="M7" i="3" s="1"/>
  <c r="C7" i="2"/>
  <c r="G7" i="3" s="1"/>
  <c r="H7" i="3" s="1"/>
  <c r="I7" i="3" s="1"/>
  <c r="B7" i="2"/>
  <c r="M6" i="2"/>
  <c r="L6" i="2"/>
  <c r="K6" i="2"/>
  <c r="J6" i="2"/>
  <c r="I6" i="2"/>
  <c r="H6" i="2"/>
  <c r="G6" i="2"/>
  <c r="F6" i="2"/>
  <c r="S6" i="3" s="1"/>
  <c r="T6" i="3" s="1"/>
  <c r="U6" i="3" s="1"/>
  <c r="E6" i="2"/>
  <c r="O6" i="3" s="1"/>
  <c r="P6" i="3" s="1"/>
  <c r="Q6" i="3" s="1"/>
  <c r="D6" i="2"/>
  <c r="K6" i="3" s="1"/>
  <c r="L6" i="3" s="1"/>
  <c r="M6" i="3" s="1"/>
  <c r="C6" i="2"/>
  <c r="G6" i="3" s="1"/>
  <c r="H6" i="3" s="1"/>
  <c r="I6" i="3" s="1"/>
  <c r="B6" i="2"/>
  <c r="M5" i="2"/>
  <c r="L5" i="2"/>
  <c r="K5" i="2"/>
  <c r="J5" i="2"/>
  <c r="I5" i="2"/>
  <c r="H5" i="2"/>
  <c r="G5" i="2"/>
  <c r="F5" i="2"/>
  <c r="S5" i="3" s="1"/>
  <c r="T5" i="3" s="1"/>
  <c r="U5" i="3" s="1"/>
  <c r="E5" i="2"/>
  <c r="O5" i="3" s="1"/>
  <c r="P5" i="3" s="1"/>
  <c r="Q5" i="3" s="1"/>
  <c r="D5" i="2"/>
  <c r="K5" i="3" s="1"/>
  <c r="L5" i="3" s="1"/>
  <c r="M5" i="3" s="1"/>
  <c r="C5" i="2"/>
  <c r="G5" i="3" s="1"/>
  <c r="H5" i="3" s="1"/>
  <c r="I5" i="3" s="1"/>
  <c r="B5" i="2"/>
  <c r="M4" i="2"/>
  <c r="L4" i="2"/>
  <c r="K4" i="2"/>
  <c r="J4" i="2"/>
  <c r="I4" i="2"/>
  <c r="H4" i="2"/>
  <c r="G4" i="2"/>
  <c r="F4" i="2"/>
  <c r="S4" i="3" s="1"/>
  <c r="T4" i="3" s="1"/>
  <c r="U4" i="3" s="1"/>
  <c r="E4" i="2"/>
  <c r="O4" i="3" s="1"/>
  <c r="P4" i="3" s="1"/>
  <c r="Q4" i="3" s="1"/>
  <c r="D4" i="2"/>
  <c r="K4" i="3" s="1"/>
  <c r="L4" i="3" s="1"/>
  <c r="M4" i="3" s="1"/>
  <c r="C4" i="2"/>
  <c r="G4" i="3" s="1"/>
  <c r="H4" i="3" s="1"/>
  <c r="I4" i="3" s="1"/>
  <c r="B4" i="2"/>
  <c r="M3" i="2"/>
  <c r="L3" i="2"/>
  <c r="K3" i="2"/>
  <c r="J3" i="2"/>
  <c r="I3" i="2"/>
  <c r="H3" i="2"/>
  <c r="G3" i="2"/>
  <c r="F3" i="2"/>
  <c r="S3" i="3" s="1"/>
  <c r="T3" i="3" s="1"/>
  <c r="U3" i="3" s="1"/>
  <c r="E3" i="2"/>
  <c r="O3" i="3" s="1"/>
  <c r="P3" i="3" s="1"/>
  <c r="Q3" i="3" s="1"/>
  <c r="D3" i="2"/>
  <c r="K3" i="3" s="1"/>
  <c r="L3" i="3" s="1"/>
  <c r="M3" i="3" s="1"/>
  <c r="C3" i="2"/>
  <c r="G3" i="3" s="1"/>
  <c r="H3" i="3" s="1"/>
  <c r="I3" i="3" s="1"/>
  <c r="B3" i="2"/>
  <c r="M2" i="2"/>
  <c r="L2" i="2"/>
  <c r="K2" i="2"/>
  <c r="J2" i="2"/>
  <c r="I2" i="2"/>
  <c r="H2" i="2"/>
  <c r="G2" i="2"/>
  <c r="F2" i="2"/>
  <c r="S2" i="3" s="1"/>
  <c r="T2" i="3" s="1"/>
  <c r="U2" i="3" s="1"/>
  <c r="E2" i="2"/>
  <c r="O2" i="3" s="1"/>
  <c r="P2" i="3" s="1"/>
  <c r="Q2" i="3" s="1"/>
  <c r="D2" i="2"/>
  <c r="K2" i="3" s="1"/>
  <c r="L2" i="3" s="1"/>
  <c r="M2" i="3" s="1"/>
  <c r="C2" i="2"/>
  <c r="G2" i="3" s="1"/>
  <c r="H2" i="3" s="1"/>
  <c r="I2" i="3" s="1"/>
  <c r="B2" i="2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E13" i="3" l="1"/>
  <c r="AD13" i="3"/>
  <c r="N34" i="2"/>
  <c r="W34" i="3" s="1"/>
  <c r="X34" i="3" s="1"/>
  <c r="Y34" i="3" s="1"/>
  <c r="C34" i="3"/>
  <c r="D34" i="3" s="1"/>
  <c r="Z34" i="3"/>
  <c r="AB34" i="3" s="1"/>
  <c r="AC34" i="3" s="1"/>
  <c r="N33" i="2"/>
  <c r="W33" i="3" s="1"/>
  <c r="X33" i="3" s="1"/>
  <c r="Y33" i="3" s="1"/>
  <c r="Z33" i="3"/>
  <c r="AB33" i="3" s="1"/>
  <c r="AC33" i="3" s="1"/>
  <c r="C33" i="3"/>
  <c r="D33" i="3" s="1"/>
  <c r="C32" i="3"/>
  <c r="D32" i="3" s="1"/>
  <c r="N32" i="2"/>
  <c r="W32" i="3" s="1"/>
  <c r="X32" i="3" s="1"/>
  <c r="Y32" i="3" s="1"/>
  <c r="Z32" i="3"/>
  <c r="AB32" i="3" s="1"/>
  <c r="AC32" i="3" s="1"/>
  <c r="C31" i="3"/>
  <c r="D31" i="3" s="1"/>
  <c r="N31" i="2"/>
  <c r="W31" i="3" s="1"/>
  <c r="X31" i="3" s="1"/>
  <c r="Y31" i="3" s="1"/>
  <c r="Z31" i="3"/>
  <c r="AB31" i="3" s="1"/>
  <c r="AC31" i="3" s="1"/>
  <c r="Z30" i="3"/>
  <c r="AB30" i="3" s="1"/>
  <c r="AC30" i="3" s="1"/>
  <c r="C30" i="3"/>
  <c r="D30" i="3" s="1"/>
  <c r="N30" i="2"/>
  <c r="W30" i="3" s="1"/>
  <c r="X30" i="3" s="1"/>
  <c r="Y30" i="3" s="1"/>
  <c r="N29" i="2"/>
  <c r="W29" i="3" s="1"/>
  <c r="X29" i="3" s="1"/>
  <c r="Y29" i="3" s="1"/>
  <c r="Z29" i="3"/>
  <c r="AB29" i="3" s="1"/>
  <c r="AC29" i="3" s="1"/>
  <c r="C29" i="3"/>
  <c r="D29" i="3" s="1"/>
  <c r="N28" i="2"/>
  <c r="W28" i="3" s="1"/>
  <c r="X28" i="3" s="1"/>
  <c r="Y28" i="3" s="1"/>
  <c r="C28" i="3"/>
  <c r="D28" i="3" s="1"/>
  <c r="Z28" i="3"/>
  <c r="AB28" i="3" s="1"/>
  <c r="AC28" i="3" s="1"/>
  <c r="N27" i="2"/>
  <c r="W27" i="3" s="1"/>
  <c r="X27" i="3" s="1"/>
  <c r="Y27" i="3" s="1"/>
  <c r="Z27" i="3"/>
  <c r="AB27" i="3" s="1"/>
  <c r="AC27" i="3" s="1"/>
  <c r="C27" i="3"/>
  <c r="D27" i="3" s="1"/>
  <c r="Z26" i="3"/>
  <c r="AB26" i="3" s="1"/>
  <c r="AC26" i="3" s="1"/>
  <c r="C26" i="3"/>
  <c r="D26" i="3" s="1"/>
  <c r="N25" i="2"/>
  <c r="W25" i="3" s="1"/>
  <c r="X25" i="3" s="1"/>
  <c r="Y25" i="3" s="1"/>
  <c r="C25" i="3"/>
  <c r="D25" i="3" s="1"/>
  <c r="Z25" i="3"/>
  <c r="AB25" i="3" s="1"/>
  <c r="AC25" i="3" s="1"/>
  <c r="Z24" i="3"/>
  <c r="AB24" i="3" s="1"/>
  <c r="AC24" i="3" s="1"/>
  <c r="C24" i="3"/>
  <c r="D24" i="3" s="1"/>
  <c r="N24" i="2"/>
  <c r="W24" i="3" s="1"/>
  <c r="X24" i="3" s="1"/>
  <c r="Y24" i="3" s="1"/>
  <c r="N23" i="2"/>
  <c r="W23" i="3" s="1"/>
  <c r="X23" i="3" s="1"/>
  <c r="Y23" i="3" s="1"/>
  <c r="C23" i="3"/>
  <c r="D23" i="3" s="1"/>
  <c r="Z23" i="3"/>
  <c r="AB23" i="3" s="1"/>
  <c r="AC23" i="3" s="1"/>
  <c r="C22" i="3"/>
  <c r="D22" i="3" s="1"/>
  <c r="Z22" i="3"/>
  <c r="AB22" i="3" s="1"/>
  <c r="AC22" i="3" s="1"/>
  <c r="N22" i="2"/>
  <c r="W22" i="3" s="1"/>
  <c r="X22" i="3" s="1"/>
  <c r="Y22" i="3" s="1"/>
  <c r="Z21" i="3"/>
  <c r="AB21" i="3" s="1"/>
  <c r="AC21" i="3" s="1"/>
  <c r="N21" i="2"/>
  <c r="W21" i="3" s="1"/>
  <c r="X21" i="3" s="1"/>
  <c r="Y21" i="3" s="1"/>
  <c r="C21" i="3"/>
  <c r="D21" i="3" s="1"/>
  <c r="C20" i="3"/>
  <c r="D20" i="3" s="1"/>
  <c r="Z20" i="3"/>
  <c r="AB20" i="3" s="1"/>
  <c r="AC20" i="3" s="1"/>
  <c r="N20" i="2"/>
  <c r="W20" i="3" s="1"/>
  <c r="X20" i="3" s="1"/>
  <c r="Y20" i="3" s="1"/>
  <c r="C19" i="3"/>
  <c r="D19" i="3" s="1"/>
  <c r="N19" i="2"/>
  <c r="W19" i="3" s="1"/>
  <c r="X19" i="3" s="1"/>
  <c r="Y19" i="3" s="1"/>
  <c r="Z19" i="3"/>
  <c r="AB19" i="3" s="1"/>
  <c r="AC19" i="3" s="1"/>
  <c r="Z18" i="3"/>
  <c r="AB18" i="3" s="1"/>
  <c r="AC18" i="3" s="1"/>
  <c r="C18" i="3"/>
  <c r="D18" i="3" s="1"/>
  <c r="N18" i="2"/>
  <c r="W18" i="3" s="1"/>
  <c r="X18" i="3" s="1"/>
  <c r="Y18" i="3" s="1"/>
  <c r="N17" i="2"/>
  <c r="W17" i="3" s="1"/>
  <c r="X17" i="3" s="1"/>
  <c r="Y17" i="3" s="1"/>
  <c r="Z17" i="3"/>
  <c r="AB17" i="3" s="1"/>
  <c r="AC17" i="3" s="1"/>
  <c r="C17" i="3"/>
  <c r="D17" i="3" s="1"/>
  <c r="N16" i="2"/>
  <c r="W16" i="3" s="1"/>
  <c r="X16" i="3" s="1"/>
  <c r="Y16" i="3" s="1"/>
  <c r="C16" i="3"/>
  <c r="D16" i="3" s="1"/>
  <c r="Z16" i="3"/>
  <c r="AB16" i="3" s="1"/>
  <c r="AC16" i="3" s="1"/>
  <c r="N15" i="2"/>
  <c r="W15" i="3" s="1"/>
  <c r="X15" i="3" s="1"/>
  <c r="Y15" i="3" s="1"/>
  <c r="C15" i="3"/>
  <c r="D15" i="3" s="1"/>
  <c r="Z15" i="3"/>
  <c r="AB15" i="3" s="1"/>
  <c r="AC15" i="3" s="1"/>
  <c r="C14" i="3"/>
  <c r="D14" i="3" s="1"/>
  <c r="N14" i="2"/>
  <c r="W14" i="3" s="1"/>
  <c r="X14" i="3" s="1"/>
  <c r="Y14" i="3" s="1"/>
  <c r="Z14" i="3"/>
  <c r="AB14" i="3" s="1"/>
  <c r="AC14" i="3" s="1"/>
  <c r="Z13" i="3"/>
  <c r="AB13" i="3" s="1"/>
  <c r="AC13" i="3" s="1"/>
  <c r="G13" i="3"/>
  <c r="H13" i="3" s="1"/>
  <c r="I13" i="3" s="1"/>
  <c r="N13" i="2"/>
  <c r="W13" i="3" s="1"/>
  <c r="X13" i="3" s="1"/>
  <c r="Y13" i="3" s="1"/>
  <c r="C12" i="3"/>
  <c r="D12" i="3" s="1"/>
  <c r="N12" i="2"/>
  <c r="W12" i="3" s="1"/>
  <c r="X12" i="3" s="1"/>
  <c r="Y12" i="3" s="1"/>
  <c r="Z12" i="3"/>
  <c r="AB12" i="3" s="1"/>
  <c r="AC12" i="3" s="1"/>
  <c r="Z11" i="3"/>
  <c r="AB11" i="3" s="1"/>
  <c r="AC11" i="3" s="1"/>
  <c r="N11" i="2"/>
  <c r="W11" i="3" s="1"/>
  <c r="X11" i="3" s="1"/>
  <c r="Y11" i="3" s="1"/>
  <c r="C11" i="3"/>
  <c r="D11" i="3" s="1"/>
  <c r="C10" i="3"/>
  <c r="D10" i="3" s="1"/>
  <c r="Z10" i="3"/>
  <c r="AB10" i="3" s="1"/>
  <c r="AC10" i="3" s="1"/>
  <c r="N10" i="2"/>
  <c r="W10" i="3" s="1"/>
  <c r="X10" i="3" s="1"/>
  <c r="Y10" i="3" s="1"/>
  <c r="C9" i="3"/>
  <c r="D9" i="3" s="1"/>
  <c r="Z9" i="3"/>
  <c r="AB9" i="3" s="1"/>
  <c r="AC9" i="3" s="1"/>
  <c r="N9" i="2"/>
  <c r="W9" i="3" s="1"/>
  <c r="X9" i="3" s="1"/>
  <c r="Y9" i="3" s="1"/>
  <c r="C8" i="3"/>
  <c r="D8" i="3" s="1"/>
  <c r="N8" i="2"/>
  <c r="W8" i="3" s="1"/>
  <c r="X8" i="3" s="1"/>
  <c r="Y8" i="3" s="1"/>
  <c r="Z8" i="3"/>
  <c r="AB8" i="3" s="1"/>
  <c r="AC8" i="3" s="1"/>
  <c r="N7" i="2"/>
  <c r="W7" i="3" s="1"/>
  <c r="X7" i="3" s="1"/>
  <c r="Y7" i="3" s="1"/>
  <c r="C7" i="3"/>
  <c r="D7" i="3" s="1"/>
  <c r="Z7" i="3"/>
  <c r="AB7" i="3" s="1"/>
  <c r="AC7" i="3" s="1"/>
  <c r="C6" i="3"/>
  <c r="D6" i="3" s="1"/>
  <c r="Z6" i="3"/>
  <c r="AB6" i="3" s="1"/>
  <c r="AC6" i="3" s="1"/>
  <c r="N6" i="2"/>
  <c r="W6" i="3" s="1"/>
  <c r="X6" i="3" s="1"/>
  <c r="Y6" i="3" s="1"/>
  <c r="Z5" i="3"/>
  <c r="AB5" i="3" s="1"/>
  <c r="AC5" i="3" s="1"/>
  <c r="N5" i="2"/>
  <c r="W5" i="3" s="1"/>
  <c r="X5" i="3" s="1"/>
  <c r="Y5" i="3" s="1"/>
  <c r="C5" i="3"/>
  <c r="D5" i="3" s="1"/>
  <c r="N4" i="2"/>
  <c r="W4" i="3" s="1"/>
  <c r="X4" i="3" s="1"/>
  <c r="Y4" i="3" s="1"/>
  <c r="Z4" i="3"/>
  <c r="AB4" i="3" s="1"/>
  <c r="AC4" i="3" s="1"/>
  <c r="C4" i="3"/>
  <c r="D4" i="3" s="1"/>
  <c r="Z3" i="3"/>
  <c r="AB3" i="3" s="1"/>
  <c r="AC3" i="3" s="1"/>
  <c r="N3" i="2"/>
  <c r="W3" i="3" s="1"/>
  <c r="X3" i="3" s="1"/>
  <c r="Y3" i="3" s="1"/>
  <c r="C3" i="3"/>
  <c r="D3" i="3" s="1"/>
  <c r="Z2" i="3"/>
  <c r="AB2" i="3" s="1"/>
  <c r="AC2" i="3" s="1"/>
  <c r="C2" i="3"/>
  <c r="D2" i="3" s="1"/>
  <c r="N2" i="2"/>
  <c r="W2" i="3" s="1"/>
  <c r="X2" i="3" s="1"/>
  <c r="Y2" i="3" s="1"/>
  <c r="E34" i="3" l="1"/>
  <c r="AD34" i="3"/>
  <c r="AE34" i="3" s="1"/>
  <c r="E33" i="3"/>
  <c r="AD33" i="3"/>
  <c r="AE33" i="3" s="1"/>
  <c r="E32" i="3"/>
  <c r="AD32" i="3"/>
  <c r="AE32" i="3" s="1"/>
  <c r="E31" i="3"/>
  <c r="AD31" i="3"/>
  <c r="AE31" i="3" s="1"/>
  <c r="E30" i="3"/>
  <c r="AD30" i="3"/>
  <c r="AE30" i="3" s="1"/>
  <c r="E29" i="3"/>
  <c r="AD29" i="3"/>
  <c r="AE29" i="3" s="1"/>
  <c r="E28" i="3"/>
  <c r="AD28" i="3"/>
  <c r="AE28" i="3" s="1"/>
  <c r="E27" i="3"/>
  <c r="AD27" i="3"/>
  <c r="AE27" i="3" s="1"/>
  <c r="E26" i="3"/>
  <c r="AD26" i="3"/>
  <c r="AE26" i="3" s="1"/>
  <c r="E25" i="3"/>
  <c r="AD25" i="3"/>
  <c r="AE25" i="3" s="1"/>
  <c r="E24" i="3"/>
  <c r="AD24" i="3"/>
  <c r="AE24" i="3" s="1"/>
  <c r="E23" i="3"/>
  <c r="AD23" i="3"/>
  <c r="AE23" i="3" s="1"/>
  <c r="E22" i="3"/>
  <c r="AD22" i="3"/>
  <c r="AE22" i="3" s="1"/>
  <c r="E21" i="3"/>
  <c r="AD21" i="3"/>
  <c r="AE21" i="3" s="1"/>
  <c r="E20" i="3"/>
  <c r="AD20" i="3"/>
  <c r="AE20" i="3" s="1"/>
  <c r="E19" i="3"/>
  <c r="AD19" i="3"/>
  <c r="AE19" i="3" s="1"/>
  <c r="E18" i="3"/>
  <c r="AD18" i="3"/>
  <c r="AE18" i="3" s="1"/>
  <c r="E17" i="3"/>
  <c r="AD17" i="3"/>
  <c r="AE17" i="3" s="1"/>
  <c r="E16" i="3"/>
  <c r="AD16" i="3"/>
  <c r="AE16" i="3" s="1"/>
  <c r="E15" i="3"/>
  <c r="AD15" i="3"/>
  <c r="AE15" i="3" s="1"/>
  <c r="E14" i="3"/>
  <c r="AD14" i="3"/>
  <c r="AE14" i="3" s="1"/>
  <c r="E12" i="3"/>
  <c r="AD12" i="3"/>
  <c r="AE12" i="3" s="1"/>
  <c r="E11" i="3"/>
  <c r="AD11" i="3"/>
  <c r="AE11" i="3" s="1"/>
  <c r="E10" i="3"/>
  <c r="AD10" i="3"/>
  <c r="AE10" i="3" s="1"/>
  <c r="E9" i="3"/>
  <c r="AD9" i="3"/>
  <c r="AE9" i="3" s="1"/>
  <c r="E8" i="3"/>
  <c r="AD8" i="3"/>
  <c r="AE8" i="3" s="1"/>
  <c r="E7" i="3"/>
  <c r="AD7" i="3"/>
  <c r="AE7" i="3" s="1"/>
  <c r="AD6" i="3"/>
  <c r="AE6" i="3" s="1"/>
  <c r="E6" i="3"/>
  <c r="E5" i="3"/>
  <c r="AD5" i="3"/>
  <c r="AE5" i="3" s="1"/>
  <c r="E4" i="3"/>
  <c r="AD4" i="3"/>
  <c r="AE4" i="3" s="1"/>
  <c r="E3" i="3"/>
  <c r="AD3" i="3"/>
  <c r="AE3" i="3" s="1"/>
  <c r="E2" i="3"/>
  <c r="AD2" i="3"/>
  <c r="AE2" i="3" s="1"/>
  <c r="AE13" i="3"/>
</calcChain>
</file>

<file path=xl/sharedStrings.xml><?xml version="1.0" encoding="utf-8"?>
<sst xmlns="http://schemas.openxmlformats.org/spreadsheetml/2006/main" count="1213" uniqueCount="152">
  <si>
    <t>anio</t>
  </si>
  <si>
    <t>sector_key</t>
  </si>
  <si>
    <t>sector</t>
  </si>
  <si>
    <t>subsector</t>
  </si>
  <si>
    <t>monto_mill_usd</t>
  </si>
  <si>
    <t>sector_total_mill_usd</t>
  </si>
  <si>
    <t>total_anual_mill_usd</t>
  </si>
  <si>
    <t>fuente</t>
  </si>
  <si>
    <t>fecha_extraccion</t>
  </si>
  <si>
    <t>sector_presente_fuente</t>
  </si>
  <si>
    <t>subsector_presente_fuente</t>
  </si>
  <si>
    <t>sector_total_publicado_mill_usd</t>
  </si>
  <si>
    <t>total_anual_publicado_mill_usd</t>
  </si>
  <si>
    <t>energia</t>
  </si>
  <si>
    <t>Energía Eléctrica</t>
  </si>
  <si>
    <t>https://www.argentina.gob.ar/economia/rigi</t>
  </si>
  <si>
    <t>petroleo</t>
  </si>
  <si>
    <t>Petróleo y Gas</t>
  </si>
  <si>
    <t>Midstream</t>
  </si>
  <si>
    <t>Upstream</t>
  </si>
  <si>
    <t>mineria</t>
  </si>
  <si>
    <t>Minería</t>
  </si>
  <si>
    <t>Cobre</t>
  </si>
  <si>
    <t>Litio</t>
  </si>
  <si>
    <t>Oro y Plata</t>
  </si>
  <si>
    <t>siderurgia</t>
  </si>
  <si>
    <t>Siderurgia</t>
  </si>
  <si>
    <t>infra</t>
  </si>
  <si>
    <t>Infraestructura</t>
  </si>
  <si>
    <t>Puerto</t>
  </si>
  <si>
    <t>Fertilizantes</t>
  </si>
  <si>
    <t>energia_electrica</t>
  </si>
  <si>
    <t>petroleo_gas</t>
  </si>
  <si>
    <t>infraestructura</t>
  </si>
  <si>
    <t>midstream</t>
  </si>
  <si>
    <t>upstream</t>
  </si>
  <si>
    <t>fertilizantes</t>
  </si>
  <si>
    <t>cobre</t>
  </si>
  <si>
    <t>litio</t>
  </si>
  <si>
    <t>oro_plata</t>
  </si>
  <si>
    <t>puerto</t>
  </si>
  <si>
    <t>total_anual</t>
  </si>
  <si>
    <t>energia_publicado</t>
  </si>
  <si>
    <t>energia_recalculado</t>
  </si>
  <si>
    <t>energia_diferencia</t>
  </si>
  <si>
    <t>energia_coincide</t>
  </si>
  <si>
    <t>petroleo_publicado</t>
  </si>
  <si>
    <t>petroleo_recalculado</t>
  </si>
  <si>
    <t>petroleo_diferencia</t>
  </si>
  <si>
    <t>petroleo_coincide</t>
  </si>
  <si>
    <t>mineria_publicado</t>
  </si>
  <si>
    <t>mineria_recalculado</t>
  </si>
  <si>
    <t>mineria_diferencia</t>
  </si>
  <si>
    <t>mineria_coincide</t>
  </si>
  <si>
    <t>siderurgia_publicado</t>
  </si>
  <si>
    <t>siderurgia_recalculado</t>
  </si>
  <si>
    <t>siderurgia_diferencia</t>
  </si>
  <si>
    <t>siderurgia_coincide</t>
  </si>
  <si>
    <t>infra_publicado</t>
  </si>
  <si>
    <t>infra_recalculado</t>
  </si>
  <si>
    <t>infra_diferencia</t>
  </si>
  <si>
    <t>infra_coincide</t>
  </si>
  <si>
    <t>total_anual_publicado</t>
  </si>
  <si>
    <t>total_anual_recalculado</t>
  </si>
  <si>
    <t>total_anual_diferencia</t>
  </si>
  <si>
    <t>total_anual_coincide</t>
  </si>
  <si>
    <t>suma_cinco_sectores</t>
  </si>
  <si>
    <t>suma_monto_mill_usd</t>
  </si>
  <si>
    <t>diferencia_interna</t>
  </si>
  <si>
    <t>control_consistencia</t>
  </si>
  <si>
    <t>n_sectores_con_diferencia</t>
  </si>
  <si>
    <t>observaciones</t>
  </si>
  <si>
    <t>campo</t>
  </si>
  <si>
    <t>valor</t>
  </si>
  <si>
    <t>url_fuente_oficial</t>
  </si>
  <si>
    <t>url_final_resuelta</t>
  </si>
  <si>
    <t>fecha_hora_extraccion</t>
  </si>
  <si>
    <t>zona_horaria</t>
  </si>
  <si>
    <t>America/Argentina/Buenos_Aires</t>
  </si>
  <si>
    <t>metodo_extraccion</t>
  </si>
  <si>
    <t>HTTP GET del HTML + div#raw-data-json + JSON</t>
  </si>
  <si>
    <t>http_status</t>
  </si>
  <si>
    <t>200</t>
  </si>
  <si>
    <t>content_type</t>
  </si>
  <si>
    <t>text/html; charset=utf-8</t>
  </si>
  <si>
    <t>etag</t>
  </si>
  <si>
    <t>no informado</t>
  </si>
  <si>
    <t>last_modified</t>
  </si>
  <si>
    <t>Tue, 27 Oct 2026 16:41:23 GMT</t>
  </si>
  <si>
    <t>html_bytes</t>
  </si>
  <si>
    <t>79713</t>
  </si>
  <si>
    <t>cantidad_intentos</t>
  </si>
  <si>
    <t>1</t>
  </si>
  <si>
    <t>ubicacion_tecnica</t>
  </si>
  <si>
    <t>div#raw-data-json</t>
  </si>
  <si>
    <t>biblioteca_visualizacion</t>
  </si>
  <si>
    <t>ApexCharts</t>
  </si>
  <si>
    <t>primer_anio</t>
  </si>
  <si>
    <t>2024</t>
  </si>
  <si>
    <t>ultimo_anio</t>
  </si>
  <si>
    <t>2056</t>
  </si>
  <si>
    <t>cantidad_anios</t>
  </si>
  <si>
    <t>33</t>
  </si>
  <si>
    <t>unidad_monetaria</t>
  </si>
  <si>
    <t>millones de dólares estadounidenses</t>
  </si>
  <si>
    <t>sectores_detectados</t>
  </si>
  <si>
    <t>Energía Eléctrica | Petróleo y Gas | Minería | Siderurgia | Infraestructura</t>
  </si>
  <si>
    <t>mapeo_clave_sector_nombre</t>
  </si>
  <si>
    <t>energia =&gt; Energía Eléctrica | petroleo =&gt; Petróleo y Gas | mineria =&gt; Minería | siderurgia =&gt; Siderurgia | infra =&gt; Infraestructura</t>
  </si>
  <si>
    <t>origen_nombres_sectoriales</t>
  </si>
  <si>
    <t>energia =&gt; seriesData | petroleo =&gt; seriesData | mineria =&gt; seriesData | siderurgia =&gt; seriesData | infra =&gt; seriesData</t>
  </si>
  <si>
    <t>subsectores_detectados</t>
  </si>
  <si>
    <t>Energía Eléctrica | Midstream | Upstream | Cobre | Litio | Oro y Plata | Siderurgia | Puerto | Fertilizantes</t>
  </si>
  <si>
    <t>cantidad_filas_long</t>
  </si>
  <si>
    <t>268</t>
  </si>
  <si>
    <t>cantidad_filas_wide</t>
  </si>
  <si>
    <t>cantidad_ceros</t>
  </si>
  <si>
    <t>117</t>
  </si>
  <si>
    <t>duplicados_anio_sector_subsector</t>
  </si>
  <si>
    <t>0</t>
  </si>
  <si>
    <t>inconsistencias_detectadas</t>
  </si>
  <si>
    <t>Minería: publicado=527, calculado=542, diferencia=-15; Total desde subsectores: gráfico=613, suma_subsectores=628, diferencia=-15 | Minería: publicado=1473, calculado=1493, diferencia=-20; Total desde subsectores: gráfico=4152, suma_subsectores=4172, diferencia=-20 | Minería: publicado=2579, calculado=2630, diferencia=-51; Petróleo y Gas: publicado=4657, calculado=4658, diferencia=-1; Total desde subsectores: gráfico=7602, suma_subsectores=7654, diferencia=-52 | Minería: publicado=3875, calculado=3987, diferencia=-112; Total desde subsectores: gráfico=7698, suma_subsectores=7810, diferencia=-112 | Minería: publicado=4128, calculado=4859, diferencia=-731; Total desde subsectores: gráfico=7996, suma_subsectores=8727, diferencia=-731 | Minería: publicado=3278, calculado=3966, diferencia=-688; Total desde subsectores: gráfico=5800, suma_subsectores=6488, diferencia=-688 | Minería: publicado=2450, calculado=3724, diferencia=-1274; Total desde subsectores: gráfico=4701, suma_subsectores=5975, diferencia=-1274 | Minería: publicado=1503, calculado=2282, diferencia=-779; Total desde subsectores: gráfico=3575, suma_subsectores=4354, diferencia=-779 | Minería: publicado=416, calculado=606, diferencia=-190; Total desde subsectores: gráfico=2510, suma_subsectores=2700, diferencia=-190 | Minería: publicado=105, calculado=195, diferencia=-90; Total desde subsectores: gráfico=2012, suma_subsectores=2102, diferencia=-90 | Minería: publicado=30, calculado=247, diferencia=-217; Total desde subsectores: gráfico=1937, suma_subsectores=2154, diferencia=-217 | Minería: publicado=52, calculado=141, diferencia=-89; Total desde subsectores: gráfico=1934, suma_subsectores=2023, diferencia=-89 | Minería: publicado=31, calculado=143, diferencia=-112; Total desde subsectores: gráfico=1760, suma_subsectores=1872, diferencia=-112 | Minería: publicado=32, calculado=162, diferencia=-130; Total desde subsectores: gráfico=1575, suma_subsectores=1705, diferencia=-130 | Minería: publicado=29, calculado=134, diferencia=-105; Total desde subsectores: gráfico=1520, suma_subsectores=1625, diferencia=-105 | Minería: publicado=31, calculado=145, diferencia=-114; Total desde subsectores: gráfico=1634, suma_subsectores=1748, diferencia=-114 | Minería: publicado=25, calculado=140, diferencia=-115; Total desde subsectores: gráfico=1798, suma_subsectores=1913, diferencia=-115 | Minería: publicado=27, calculado=188, diferencia=-161; Total desde subsectores: gráfico=1684, suma_subsectores=1845, diferencia=-161 | Minería: publicado=30, calculado=227, diferencia=-197; Total desde subsectores: gráfico=893, suma_subsectores=1090, diferencia=-197 | Minería: publicado=73, calculado=242, diferencia=-169; Total desde subsectores: gráfico=808, suma_subsectores=977, diferencia=-169 | Minería: publicado=94, calculado=307, diferencia=-213; Total desde subsectores: gráfico=967, suma_subsectores=1180, diferencia=-213 | Minería: publicado=28, calculado=163, diferencia=-135; Total desde subsectores: gráfico=906, suma_subsectores=1041, diferencia=-135 | Minería: publicado=28, calculado=74, diferencia=-46; Total desde subsectores: gráfico=912, suma_subsectores=958, diferencia=-46 | Minería: publicado=8, calculado=54, diferencia=-46; Total desde subsectores: gráfico=898, suma_subsectores=944, diferencia=-46 | Minería: publicado=8, calculado=51, diferencia=-43; Total desde subsectores: gráfico=577, suma_subsectores=620, diferencia=-43 | Minería: publicado=8, calculado=44, diferencia=-36; Total desde subsectores: gráfico=141, suma_subsectores=177, diferencia=-36 | Minería: publicado=8, calculado=17, diferencia=-9; Total desde subsectores: gráfico=141, suma_subsectores=150, diferencia=-9 | Minería: publicado=8, calculado=59, diferencia=-51; Total desde subsectores: gráfico=141, suma_subsectores=192, diferencia=-51 | Minería: publicado=8, calculado=59, diferencia=-51; Total desde subsectores: gráfico=141, suma_subsectores=192, diferencia=-51 | Minería: publicado=7, calculado=58, diferencia=-51; Total desde subsectores: gráfico=140, suma_subsectores=191, diferencia=-51 | Minería: publicado=44, calculado=95, diferencia=-51; Total desde subsectores: gráfico=177, suma_subsectores=228, diferencia=-51</t>
  </si>
  <si>
    <t>cambios_referencia_2026</t>
  </si>
  <si>
    <t>petroleo_gas | midstream | upstream | cobre | siderurgia | total_anual</t>
  </si>
  <si>
    <t>advertencias_ejecucion</t>
  </si>
  <si>
    <t>Ninguna.</t>
  </si>
  <si>
    <t>sha256_json_embebido</t>
  </si>
  <si>
    <t>72715f29c7a0dd860e464e0f9cc5fe5b01873ae8ee03348fd19010a16c974265</t>
  </si>
  <si>
    <t>sha256_html</t>
  </si>
  <si>
    <t>8b8897d02090c310b41c058c0c310334704cc262e1a11d103efd3c040162bec1</t>
  </si>
  <si>
    <t>version_R</t>
  </si>
  <si>
    <t>R version 4.3.2 (2023-10-31)</t>
  </si>
  <si>
    <t>paquetes_utilizados</t>
  </si>
  <si>
    <t>httr2=1.1.2 | rvest=1.0.3 | xml2=1.3.6 | jsonlite=1.8.8 | dplyr=1.1.4 | tidyr=1.3.1 | purrr=1.0.4 | stringr=1.5.1 | stringi=1.8.7 | readr=2.1.5 | tibble=3.3.0 | openxlsx=4.2.8 | digest=0.6.33 | lubridate=1.9.3 | fs=1.6.3</t>
  </si>
  <si>
    <t>observaciones_estructura_web</t>
  </si>
  <si>
    <t>Los datos se leen desde un JSON embebido en el HTML. El total anual del gráfico no es un campo independiente: se obtiene sumando los totales sectoriales. Las categorías ausentes se conservan como NA y no se confunden con ceros publicados.</t>
  </si>
  <si>
    <t>metodologia_recalculo</t>
  </si>
  <si>
    <t>2026-10-27: Para cada anio y sector, SUMIFS sobre monto_mill_usd de Datos_long (agrupado por anio y sector_key). Total anual = SUMIF sobre monto_mill_usd por anio. No se usan los totales publicados para el recalculo.</t>
  </si>
  <si>
    <t>columnas_originales_conservadas</t>
  </si>
  <si>
    <t>Datos_long!L:M guarda el sector_total_mill_usd y total_anual_mill_usd publicados originalmente, respectivamente.</t>
  </si>
  <si>
    <t>tabla_wide</t>
  </si>
  <si>
    <t>Datos_wide recalculada desde monto_mill_usd en Datos_long; el total anual suma los cinco sectores, sin doble conteo.</t>
  </si>
  <si>
    <t>distincion_ausente_cero</t>
  </si>
  <si>
    <t>Un subsector sin fila en Datos_long se muestra vacío en Datos_wide; los montos reportados iguales a 0 se mantienen como cero (visualizados con guion).</t>
  </si>
  <si>
    <t>control_anual</t>
  </si>
  <si>
    <t>Validaciones!AB verifica la diferencia entre la suma de los 5 sectores y la suma de subsectores. Validaciones!AC es VERDADERO cuando ambas coinciden.</t>
  </si>
  <si>
    <t>direccion_diferencias</t>
  </si>
  <si>
    <t>En Validaciones: diferencia = valor recalculado menos valor publicado. Las discrepancias originales se preservan.</t>
  </si>
  <si>
    <t>edicion_de_datos</t>
  </si>
  <si>
    <t>Si se modifica monto_mill_usd dentro de las 268 observaciones existentes, los totales y validaciones con fórmula se actualizan en Excel.</t>
  </si>
  <si>
    <t>archivo_origen</t>
  </si>
  <si>
    <t>RIGI_planes_inversion(1).xlsx; extracción original preservada en A:E,H:K, L:M de Datos_long y en la serie publicada de Validaciones.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</si>
</sst>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&quot;-&quot;"/>
  </numFmts>
  <fonts count="5">
    <font>
      <sz val="11"/>
      <name val="Carlito"/>
    </font>
    <font>
      <b/>
      <sz val="11"/>
      <color rgb="FFFFFFFF"/>
      <name val="Carlito"/>
    </font>
    <font>
      <sz val="11"/>
      <color rgb="FF2157B2"/>
      <name val="Carlito"/>
    </font>
    <font>
      <sz val="11"/>
      <color rgb="FF172B3A"/>
      <name val="Carlito"/>
    </font>
    <font>
      <sz val="11"/>
      <color rgb="FF087C55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1F4F6C"/>
      </patternFill>
    </fill>
    <fill>
      <patternFill patternType="solid">
        <fgColor rgb="FF526477"/>
      </patternFill>
    </fill>
    <fill>
      <patternFill patternType="solid">
        <fgColor rgb="FFECF7F3"/>
      </patternFill>
    </fill>
    <fill>
      <patternFill patternType="solid">
        <fgColor rgb="FFEDF3F9"/>
      </patternFill>
    </fill>
    <fill>
      <patternFill patternType="solid">
        <fgColor rgb="FF41617D"/>
      </patternFill>
    </fill>
    <fill>
      <patternFill patternType="solid">
        <fgColor rgb="FF087C70"/>
      </patternFill>
    </fill>
    <fill>
      <patternFill patternType="solid">
        <fgColor rgb="FFD8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4" fontId="2" fillId="0" borderId="0" xfId="0" applyNumberFormat="1" applyFont="1"/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2" fillId="6" borderId="0" xfId="0" applyNumberFormat="1" applyFont="1" applyFill="1"/>
    <xf numFmtId="1" fontId="0" fillId="0" borderId="0" xfId="0" applyNumberFormat="1"/>
    <xf numFmtId="164" fontId="4" fillId="0" borderId="0" xfId="0" applyNumberFormat="1" applyFont="1"/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164" fontId="3" fillId="9" borderId="0" xfId="0" applyNumberFormat="1" applyFont="1" applyFill="1"/>
    <xf numFmtId="164" fontId="0" fillId="9" borderId="0" xfId="0" applyNumberFormat="1" applyFill="1"/>
    <xf numFmtId="0" fontId="0" fillId="0" borderId="0" xfId="0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9" borderId="0" xfId="0" applyFill="1"/>
    <xf numFmtId="2" fontId="2" fillId="0" borderId="0" xfId="0" applyNumberFormat="1" applyFont="1"/>
    <xf numFmtId="2" fontId="3" fillId="5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6">
    <dxf>
      <font>
        <color rgb="FFB42318"/>
      </font>
      <fill>
        <patternFill patternType="solid">
          <bgColor rgb="FFFDECE9"/>
        </patternFill>
      </fill>
    </dxf>
    <dxf>
      <font>
        <color rgb="FFB42318"/>
      </font>
      <fill>
        <patternFill patternType="solid">
          <bgColor rgb="FFFDECE9"/>
        </patternFill>
      </fill>
    </dxf>
    <dxf>
      <font>
        <color rgb="FFB42318"/>
      </font>
      <fill>
        <patternFill patternType="solid">
          <bgColor rgb="FFFDECE9"/>
        </patternFill>
      </fill>
    </dxf>
    <dxf>
      <font>
        <color rgb="FFB42318"/>
      </font>
      <fill>
        <patternFill patternType="solid">
          <bgColor rgb="FFFDECE9"/>
        </patternFill>
      </fill>
    </dxf>
    <dxf>
      <font>
        <color rgb="FFB42318"/>
      </font>
      <fill>
        <patternFill patternType="solid">
          <bgColor rgb="FFFDECE9"/>
        </patternFill>
      </fill>
    </dxf>
    <dxf>
      <font>
        <color rgb="FFB42318"/>
      </font>
      <fill>
        <patternFill patternType="solid">
          <bgColor rgb="FFFDEC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0"/>
  <sheetViews>
    <sheetView tabSelected="1" zoomScale="130" zoomScaleNormal="130" workbookViewId="0">
      <pane xSplit="2" ySplit="1" topLeftCell="C2" activePane="bottomRight" state="frozen"/>
      <selection pane="topRight"/>
      <selection pane="bottomLeft"/>
      <selection pane="bottomRight" activeCell="H28" sqref="H28"/>
    </sheetView>
  </sheetViews>
  <sheetFormatPr baseColWidth="10" defaultColWidth="8.83203125" defaultRowHeight="14"/>
  <cols>
    <col min="1" max="1" width="12" customWidth="1"/>
    <col min="2" max="2" width="14" customWidth="1"/>
    <col min="3" max="4" width="23" customWidth="1"/>
    <col min="5" max="7" width="25" customWidth="1"/>
    <col min="8" max="8" width="55" customWidth="1"/>
    <col min="9" max="9" width="29" customWidth="1"/>
    <col min="10" max="11" width="24" customWidth="1"/>
    <col min="12" max="13" width="29" customWidth="1"/>
  </cols>
  <sheetData>
    <row r="1" spans="1:13" ht="4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</row>
    <row r="2" spans="1:13">
      <c r="A2" s="8">
        <v>2024</v>
      </c>
      <c r="B2" t="s">
        <v>13</v>
      </c>
      <c r="C2" t="s">
        <v>14</v>
      </c>
      <c r="D2" t="s">
        <v>14</v>
      </c>
      <c r="E2" s="18">
        <v>37</v>
      </c>
      <c r="F2" s="19">
        <f t="shared" ref="F2:F65" si="0">SUMIFS($E$2:$E$269,$A$2:$A$269,$A2,$B$2:$B$269,$B2)</f>
        <v>37</v>
      </c>
      <c r="G2" s="19">
        <f t="shared" ref="G2:G65" si="1">SUMIF($A$2:$A$269,$A2,$E$2:$E$269)</f>
        <v>628</v>
      </c>
      <c r="H2" t="s">
        <v>15</v>
      </c>
      <c r="I2">
        <v>46322.797685185185</v>
      </c>
      <c r="J2" s="1" t="b">
        <v>1</v>
      </c>
      <c r="K2" s="1" t="b">
        <v>1</v>
      </c>
      <c r="L2" s="7">
        <v>37</v>
      </c>
      <c r="M2" s="7">
        <v>613</v>
      </c>
    </row>
    <row r="3" spans="1:13">
      <c r="A3" s="8">
        <v>2024</v>
      </c>
      <c r="B3" t="s">
        <v>16</v>
      </c>
      <c r="C3" t="s">
        <v>17</v>
      </c>
      <c r="D3" t="s">
        <v>18</v>
      </c>
      <c r="E3" s="18">
        <v>34</v>
      </c>
      <c r="F3" s="19">
        <f t="shared" si="0"/>
        <v>49</v>
      </c>
      <c r="G3" s="19">
        <f t="shared" si="1"/>
        <v>628</v>
      </c>
      <c r="H3" t="s">
        <v>15</v>
      </c>
      <c r="I3">
        <v>46322.797685185185</v>
      </c>
      <c r="J3" s="1" t="b">
        <v>1</v>
      </c>
      <c r="K3" s="1" t="b">
        <v>1</v>
      </c>
      <c r="L3" s="7">
        <v>49</v>
      </c>
      <c r="M3" s="7">
        <v>613</v>
      </c>
    </row>
    <row r="4" spans="1:13">
      <c r="A4" s="8">
        <v>2024</v>
      </c>
      <c r="B4" t="s">
        <v>16</v>
      </c>
      <c r="C4" t="s">
        <v>17</v>
      </c>
      <c r="D4" t="s">
        <v>19</v>
      </c>
      <c r="E4" s="18">
        <v>15</v>
      </c>
      <c r="F4" s="19">
        <f t="shared" si="0"/>
        <v>49</v>
      </c>
      <c r="G4" s="19">
        <f t="shared" si="1"/>
        <v>628</v>
      </c>
      <c r="H4" t="s">
        <v>15</v>
      </c>
      <c r="I4">
        <v>46322.797685185185</v>
      </c>
      <c r="J4" s="1" t="b">
        <v>1</v>
      </c>
      <c r="K4" s="1" t="b">
        <v>1</v>
      </c>
      <c r="L4" s="7">
        <v>49</v>
      </c>
      <c r="M4" s="7">
        <v>613</v>
      </c>
    </row>
    <row r="5" spans="1:13">
      <c r="A5" s="8">
        <v>2024</v>
      </c>
      <c r="B5" t="s">
        <v>20</v>
      </c>
      <c r="C5" t="s">
        <v>21</v>
      </c>
      <c r="D5" t="s">
        <v>22</v>
      </c>
      <c r="E5" s="18">
        <v>124</v>
      </c>
      <c r="F5" s="19">
        <f t="shared" si="0"/>
        <v>542</v>
      </c>
      <c r="G5" s="19">
        <f t="shared" si="1"/>
        <v>628</v>
      </c>
      <c r="H5" t="s">
        <v>15</v>
      </c>
      <c r="I5">
        <v>46322.797685185185</v>
      </c>
      <c r="J5" s="1" t="b">
        <v>1</v>
      </c>
      <c r="K5" s="1" t="b">
        <v>1</v>
      </c>
      <c r="L5" s="7">
        <v>527</v>
      </c>
      <c r="M5" s="7">
        <v>613</v>
      </c>
    </row>
    <row r="6" spans="1:13">
      <c r="A6" s="8">
        <v>2024</v>
      </c>
      <c r="B6" t="s">
        <v>20</v>
      </c>
      <c r="C6" t="s">
        <v>21</v>
      </c>
      <c r="D6" t="s">
        <v>23</v>
      </c>
      <c r="E6" s="18">
        <v>374</v>
      </c>
      <c r="F6" s="19">
        <f t="shared" si="0"/>
        <v>542</v>
      </c>
      <c r="G6" s="19">
        <f t="shared" si="1"/>
        <v>628</v>
      </c>
      <c r="H6" t="s">
        <v>15</v>
      </c>
      <c r="I6">
        <v>46322.797685185185</v>
      </c>
      <c r="J6" s="1" t="b">
        <v>1</v>
      </c>
      <c r="K6" s="1" t="b">
        <v>1</v>
      </c>
      <c r="L6" s="7">
        <v>527</v>
      </c>
      <c r="M6" s="7">
        <v>613</v>
      </c>
    </row>
    <row r="7" spans="1:13">
      <c r="A7" s="8">
        <v>2024</v>
      </c>
      <c r="B7" t="s">
        <v>20</v>
      </c>
      <c r="C7" t="s">
        <v>21</v>
      </c>
      <c r="D7" t="s">
        <v>24</v>
      </c>
      <c r="E7" s="18">
        <v>44</v>
      </c>
      <c r="F7" s="19">
        <f t="shared" si="0"/>
        <v>542</v>
      </c>
      <c r="G7" s="19">
        <f t="shared" si="1"/>
        <v>628</v>
      </c>
      <c r="H7" t="s">
        <v>15</v>
      </c>
      <c r="I7">
        <v>46322.797685185185</v>
      </c>
      <c r="J7" s="1" t="b">
        <v>1</v>
      </c>
      <c r="K7" s="1" t="b">
        <v>1</v>
      </c>
      <c r="L7" s="7">
        <v>527</v>
      </c>
      <c r="M7" s="7">
        <v>613</v>
      </c>
    </row>
    <row r="8" spans="1:13">
      <c r="A8" s="8">
        <v>2024</v>
      </c>
      <c r="B8" t="s">
        <v>25</v>
      </c>
      <c r="C8" t="s">
        <v>26</v>
      </c>
      <c r="D8" t="s">
        <v>26</v>
      </c>
      <c r="E8" s="18">
        <v>0</v>
      </c>
      <c r="F8" s="19">
        <f t="shared" si="0"/>
        <v>0</v>
      </c>
      <c r="G8" s="19">
        <f t="shared" si="1"/>
        <v>628</v>
      </c>
      <c r="H8" t="s">
        <v>15</v>
      </c>
      <c r="I8">
        <v>46322.797685185185</v>
      </c>
      <c r="J8" s="1" t="b">
        <v>1</v>
      </c>
      <c r="K8" s="1" t="b">
        <v>1</v>
      </c>
      <c r="L8" s="7">
        <v>0</v>
      </c>
      <c r="M8" s="7">
        <v>613</v>
      </c>
    </row>
    <row r="9" spans="1:13">
      <c r="A9" s="8">
        <v>2024</v>
      </c>
      <c r="B9" t="s">
        <v>27</v>
      </c>
      <c r="C9" t="s">
        <v>28</v>
      </c>
      <c r="D9" t="s">
        <v>29</v>
      </c>
      <c r="E9" s="18">
        <v>0</v>
      </c>
      <c r="F9" s="19">
        <f>SUMIFS($E$2:$E$269,$A$2:$A$269,$A9,$B$2:$B$269,$B9)</f>
        <v>0</v>
      </c>
      <c r="G9" s="19">
        <f t="shared" si="1"/>
        <v>628</v>
      </c>
      <c r="H9" t="s">
        <v>15</v>
      </c>
      <c r="I9">
        <v>46322.797685185185</v>
      </c>
      <c r="J9" s="1" t="b">
        <v>1</v>
      </c>
      <c r="K9" s="1" t="b">
        <v>1</v>
      </c>
      <c r="L9" s="7">
        <v>0</v>
      </c>
      <c r="M9" s="7">
        <v>613</v>
      </c>
    </row>
    <row r="10" spans="1:13">
      <c r="A10" s="8">
        <v>2025</v>
      </c>
      <c r="B10" t="s">
        <v>13</v>
      </c>
      <c r="C10" t="s">
        <v>14</v>
      </c>
      <c r="D10" t="s">
        <v>14</v>
      </c>
      <c r="E10" s="18">
        <v>252</v>
      </c>
      <c r="F10" s="19">
        <f t="shared" si="0"/>
        <v>252</v>
      </c>
      <c r="G10" s="19">
        <f t="shared" si="1"/>
        <v>4172</v>
      </c>
      <c r="H10" t="s">
        <v>15</v>
      </c>
      <c r="I10">
        <v>46322.797685185185</v>
      </c>
      <c r="J10" s="1" t="b">
        <v>1</v>
      </c>
      <c r="K10" s="1" t="b">
        <v>1</v>
      </c>
      <c r="L10" s="7">
        <v>252</v>
      </c>
      <c r="M10" s="7">
        <v>4152</v>
      </c>
    </row>
    <row r="11" spans="1:13">
      <c r="A11" s="8">
        <v>2025</v>
      </c>
      <c r="B11" t="s">
        <v>16</v>
      </c>
      <c r="C11" t="s">
        <v>17</v>
      </c>
      <c r="D11" t="s">
        <v>18</v>
      </c>
      <c r="E11" s="18">
        <v>1574</v>
      </c>
      <c r="F11" s="19">
        <f t="shared" si="0"/>
        <v>2253</v>
      </c>
      <c r="G11" s="19">
        <f t="shared" si="1"/>
        <v>4172</v>
      </c>
      <c r="H11" t="s">
        <v>15</v>
      </c>
      <c r="I11">
        <v>46322.797685185185</v>
      </c>
      <c r="J11" s="1" t="b">
        <v>1</v>
      </c>
      <c r="K11" s="1" t="b">
        <v>1</v>
      </c>
      <c r="L11" s="7">
        <v>2253</v>
      </c>
      <c r="M11" s="7">
        <v>4152</v>
      </c>
    </row>
    <row r="12" spans="1:13">
      <c r="A12" s="8">
        <v>2025</v>
      </c>
      <c r="B12" t="s">
        <v>16</v>
      </c>
      <c r="C12" t="s">
        <v>17</v>
      </c>
      <c r="D12" t="s">
        <v>19</v>
      </c>
      <c r="E12" s="18">
        <v>679</v>
      </c>
      <c r="F12" s="19">
        <f t="shared" si="0"/>
        <v>2253</v>
      </c>
      <c r="G12" s="19">
        <f t="shared" si="1"/>
        <v>4172</v>
      </c>
      <c r="H12" t="s">
        <v>15</v>
      </c>
      <c r="I12">
        <v>46322.797685185185</v>
      </c>
      <c r="J12" s="1" t="b">
        <v>1</v>
      </c>
      <c r="K12" s="1" t="b">
        <v>1</v>
      </c>
      <c r="L12" s="7">
        <v>2253</v>
      </c>
      <c r="M12" s="7">
        <v>4152</v>
      </c>
    </row>
    <row r="13" spans="1:13">
      <c r="A13" s="8">
        <v>2025</v>
      </c>
      <c r="B13" t="s">
        <v>20</v>
      </c>
      <c r="C13" t="s">
        <v>21</v>
      </c>
      <c r="D13" t="s">
        <v>22</v>
      </c>
      <c r="E13" s="18">
        <v>440</v>
      </c>
      <c r="F13" s="19">
        <f t="shared" si="0"/>
        <v>1493</v>
      </c>
      <c r="G13" s="19">
        <f t="shared" si="1"/>
        <v>4172</v>
      </c>
      <c r="H13" t="s">
        <v>15</v>
      </c>
      <c r="I13">
        <v>46322.797685185185</v>
      </c>
      <c r="J13" s="1" t="b">
        <v>1</v>
      </c>
      <c r="K13" s="1" t="b">
        <v>1</v>
      </c>
      <c r="L13" s="7">
        <v>1473</v>
      </c>
      <c r="M13" s="7">
        <v>4152</v>
      </c>
    </row>
    <row r="14" spans="1:13">
      <c r="A14" s="8">
        <v>2025</v>
      </c>
      <c r="B14" t="s">
        <v>20</v>
      </c>
      <c r="C14" t="s">
        <v>21</v>
      </c>
      <c r="D14" t="s">
        <v>23</v>
      </c>
      <c r="E14" s="18">
        <v>948</v>
      </c>
      <c r="F14" s="19">
        <f t="shared" si="0"/>
        <v>1493</v>
      </c>
      <c r="G14" s="19">
        <f t="shared" si="1"/>
        <v>4172</v>
      </c>
      <c r="H14" t="s">
        <v>15</v>
      </c>
      <c r="I14">
        <v>46322.797685185185</v>
      </c>
      <c r="J14" s="1" t="b">
        <v>1</v>
      </c>
      <c r="K14" s="1" t="b">
        <v>1</v>
      </c>
      <c r="L14" s="7">
        <v>1473</v>
      </c>
      <c r="M14" s="7">
        <v>4152</v>
      </c>
    </row>
    <row r="15" spans="1:13">
      <c r="A15" s="8">
        <v>2025</v>
      </c>
      <c r="B15" t="s">
        <v>20</v>
      </c>
      <c r="C15" t="s">
        <v>21</v>
      </c>
      <c r="D15" t="s">
        <v>24</v>
      </c>
      <c r="E15" s="18">
        <v>105</v>
      </c>
      <c r="F15" s="19">
        <f t="shared" si="0"/>
        <v>1493</v>
      </c>
      <c r="G15" s="19">
        <f t="shared" si="1"/>
        <v>4172</v>
      </c>
      <c r="H15" t="s">
        <v>15</v>
      </c>
      <c r="I15">
        <v>46322.797685185185</v>
      </c>
      <c r="J15" s="1" t="b">
        <v>1</v>
      </c>
      <c r="K15" s="1" t="b">
        <v>1</v>
      </c>
      <c r="L15" s="7">
        <v>1473</v>
      </c>
      <c r="M15" s="7">
        <v>4152</v>
      </c>
    </row>
    <row r="16" spans="1:13">
      <c r="A16" s="8">
        <v>2025</v>
      </c>
      <c r="B16" t="s">
        <v>25</v>
      </c>
      <c r="C16" t="s">
        <v>26</v>
      </c>
      <c r="D16" t="s">
        <v>26</v>
      </c>
      <c r="E16" s="18">
        <v>82</v>
      </c>
      <c r="F16" s="19">
        <f t="shared" si="0"/>
        <v>82</v>
      </c>
      <c r="G16" s="19">
        <f t="shared" si="1"/>
        <v>4172</v>
      </c>
      <c r="H16" t="s">
        <v>15</v>
      </c>
      <c r="I16">
        <v>46322.797685185185</v>
      </c>
      <c r="J16" s="1" t="b">
        <v>1</v>
      </c>
      <c r="K16" s="1" t="b">
        <v>1</v>
      </c>
      <c r="L16" s="7">
        <v>82</v>
      </c>
      <c r="M16" s="7">
        <v>4152</v>
      </c>
    </row>
    <row r="17" spans="1:13">
      <c r="A17" s="8">
        <v>2025</v>
      </c>
      <c r="B17" t="s">
        <v>27</v>
      </c>
      <c r="C17" t="s">
        <v>28</v>
      </c>
      <c r="D17" t="s">
        <v>29</v>
      </c>
      <c r="E17" s="18">
        <v>92</v>
      </c>
      <c r="F17" s="19">
        <f t="shared" si="0"/>
        <v>92</v>
      </c>
      <c r="G17" s="19">
        <f t="shared" si="1"/>
        <v>4172</v>
      </c>
      <c r="H17" t="s">
        <v>15</v>
      </c>
      <c r="I17">
        <v>46322.797685185185</v>
      </c>
      <c r="J17" s="1" t="b">
        <v>1</v>
      </c>
      <c r="K17" s="1" t="b">
        <v>1</v>
      </c>
      <c r="L17" s="7">
        <v>92</v>
      </c>
      <c r="M17" s="7">
        <v>4152</v>
      </c>
    </row>
    <row r="18" spans="1:13">
      <c r="A18" s="8">
        <v>2026</v>
      </c>
      <c r="B18" t="s">
        <v>13</v>
      </c>
      <c r="C18" t="s">
        <v>14</v>
      </c>
      <c r="D18" t="s">
        <v>14</v>
      </c>
      <c r="E18" s="18">
        <v>162</v>
      </c>
      <c r="F18" s="19">
        <f t="shared" si="0"/>
        <v>162</v>
      </c>
      <c r="G18" s="19">
        <f t="shared" si="1"/>
        <v>7654</v>
      </c>
      <c r="H18" t="s">
        <v>15</v>
      </c>
      <c r="I18">
        <v>46322.797685185185</v>
      </c>
      <c r="J18" s="1" t="b">
        <v>1</v>
      </c>
      <c r="K18" s="1" t="b">
        <v>1</v>
      </c>
      <c r="L18" s="7">
        <v>162</v>
      </c>
      <c r="M18" s="7">
        <v>7602</v>
      </c>
    </row>
    <row r="19" spans="1:13">
      <c r="A19" s="8">
        <v>2026</v>
      </c>
      <c r="B19" t="s">
        <v>16</v>
      </c>
      <c r="C19" t="s">
        <v>17</v>
      </c>
      <c r="D19" t="s">
        <v>18</v>
      </c>
      <c r="E19" s="18">
        <v>2348</v>
      </c>
      <c r="F19" s="19">
        <f t="shared" si="0"/>
        <v>4658</v>
      </c>
      <c r="G19" s="19">
        <f t="shared" si="1"/>
        <v>7654</v>
      </c>
      <c r="H19" t="s">
        <v>15</v>
      </c>
      <c r="I19">
        <v>46322.797685185185</v>
      </c>
      <c r="J19" s="1" t="b">
        <v>1</v>
      </c>
      <c r="K19" s="1" t="b">
        <v>1</v>
      </c>
      <c r="L19" s="7">
        <v>4657</v>
      </c>
      <c r="M19" s="7">
        <v>7602</v>
      </c>
    </row>
    <row r="20" spans="1:13">
      <c r="A20" s="8">
        <v>2026</v>
      </c>
      <c r="B20" t="s">
        <v>16</v>
      </c>
      <c r="C20" t="s">
        <v>17</v>
      </c>
      <c r="D20" t="s">
        <v>19</v>
      </c>
      <c r="E20" s="18">
        <v>1783</v>
      </c>
      <c r="F20" s="19">
        <f t="shared" si="0"/>
        <v>4658</v>
      </c>
      <c r="G20" s="19">
        <f t="shared" si="1"/>
        <v>7654</v>
      </c>
      <c r="H20" t="s">
        <v>15</v>
      </c>
      <c r="I20">
        <v>46322.797685185185</v>
      </c>
      <c r="J20" s="1" t="b">
        <v>1</v>
      </c>
      <c r="K20" s="1" t="b">
        <v>1</v>
      </c>
      <c r="L20" s="7">
        <v>4657</v>
      </c>
      <c r="M20" s="7">
        <v>7602</v>
      </c>
    </row>
    <row r="21" spans="1:13">
      <c r="A21" s="8">
        <v>2026</v>
      </c>
      <c r="B21" t="s">
        <v>16</v>
      </c>
      <c r="C21" t="s">
        <v>17</v>
      </c>
      <c r="D21" t="s">
        <v>30</v>
      </c>
      <c r="E21" s="18">
        <v>527</v>
      </c>
      <c r="F21" s="19">
        <f t="shared" si="0"/>
        <v>4658</v>
      </c>
      <c r="G21" s="19">
        <f t="shared" si="1"/>
        <v>7654</v>
      </c>
      <c r="H21" t="s">
        <v>15</v>
      </c>
      <c r="I21">
        <v>46322.797685185185</v>
      </c>
      <c r="J21" s="1" t="b">
        <v>1</v>
      </c>
      <c r="K21" s="1" t="b">
        <v>1</v>
      </c>
      <c r="L21" s="7">
        <v>4657</v>
      </c>
      <c r="M21" s="7">
        <v>7602</v>
      </c>
    </row>
    <row r="22" spans="1:13">
      <c r="A22" s="8">
        <v>2026</v>
      </c>
      <c r="B22" t="s">
        <v>20</v>
      </c>
      <c r="C22" t="s">
        <v>21</v>
      </c>
      <c r="D22" t="s">
        <v>22</v>
      </c>
      <c r="E22" s="18">
        <v>1013</v>
      </c>
      <c r="F22" s="19">
        <f t="shared" si="0"/>
        <v>2630</v>
      </c>
      <c r="G22" s="19">
        <f t="shared" si="1"/>
        <v>7654</v>
      </c>
      <c r="H22" t="s">
        <v>15</v>
      </c>
      <c r="I22">
        <v>46322.797685185185</v>
      </c>
      <c r="J22" s="1" t="b">
        <v>1</v>
      </c>
      <c r="K22" s="1" t="b">
        <v>1</v>
      </c>
      <c r="L22" s="7">
        <v>2579</v>
      </c>
      <c r="M22" s="7">
        <v>7602</v>
      </c>
    </row>
    <row r="23" spans="1:13">
      <c r="A23" s="8">
        <v>2026</v>
      </c>
      <c r="B23" t="s">
        <v>20</v>
      </c>
      <c r="C23" t="s">
        <v>21</v>
      </c>
      <c r="D23" t="s">
        <v>23</v>
      </c>
      <c r="E23" s="18">
        <v>1358</v>
      </c>
      <c r="F23" s="19">
        <f t="shared" si="0"/>
        <v>2630</v>
      </c>
      <c r="G23" s="19">
        <f t="shared" si="1"/>
        <v>7654</v>
      </c>
      <c r="H23" t="s">
        <v>15</v>
      </c>
      <c r="I23">
        <v>46322.797685185185</v>
      </c>
      <c r="J23" s="1" t="b">
        <v>1</v>
      </c>
      <c r="K23" s="1" t="b">
        <v>1</v>
      </c>
      <c r="L23" s="7">
        <v>2579</v>
      </c>
      <c r="M23" s="7">
        <v>7602</v>
      </c>
    </row>
    <row r="24" spans="1:13">
      <c r="A24" s="8">
        <v>2026</v>
      </c>
      <c r="B24" t="s">
        <v>20</v>
      </c>
      <c r="C24" t="s">
        <v>21</v>
      </c>
      <c r="D24" t="s">
        <v>24</v>
      </c>
      <c r="E24" s="18">
        <v>259</v>
      </c>
      <c r="F24" s="19">
        <f t="shared" si="0"/>
        <v>2630</v>
      </c>
      <c r="G24" s="19">
        <f t="shared" si="1"/>
        <v>7654</v>
      </c>
      <c r="H24" t="s">
        <v>15</v>
      </c>
      <c r="I24">
        <v>46322.797685185185</v>
      </c>
      <c r="J24" s="1" t="b">
        <v>1</v>
      </c>
      <c r="K24" s="1" t="b">
        <v>1</v>
      </c>
      <c r="L24" s="7">
        <v>2579</v>
      </c>
      <c r="M24" s="7">
        <v>7602</v>
      </c>
    </row>
    <row r="25" spans="1:13">
      <c r="A25" s="8">
        <v>2026</v>
      </c>
      <c r="B25" t="s">
        <v>25</v>
      </c>
      <c r="C25" t="s">
        <v>26</v>
      </c>
      <c r="D25" t="s">
        <v>26</v>
      </c>
      <c r="E25" s="18">
        <v>130</v>
      </c>
      <c r="F25" s="19">
        <f t="shared" si="0"/>
        <v>130</v>
      </c>
      <c r="G25" s="19">
        <f t="shared" si="1"/>
        <v>7654</v>
      </c>
      <c r="H25" t="s">
        <v>15</v>
      </c>
      <c r="I25">
        <v>46322.797685185185</v>
      </c>
      <c r="J25" s="1" t="b">
        <v>1</v>
      </c>
      <c r="K25" s="1" t="b">
        <v>1</v>
      </c>
      <c r="L25" s="7">
        <v>130</v>
      </c>
      <c r="M25" s="7">
        <v>7602</v>
      </c>
    </row>
    <row r="26" spans="1:13">
      <c r="A26" s="8">
        <v>2026</v>
      </c>
      <c r="B26" t="s">
        <v>27</v>
      </c>
      <c r="C26" t="s">
        <v>28</v>
      </c>
      <c r="D26" t="s">
        <v>29</v>
      </c>
      <c r="E26" s="18">
        <v>74</v>
      </c>
      <c r="F26" s="19">
        <f t="shared" si="0"/>
        <v>74</v>
      </c>
      <c r="G26" s="19">
        <f t="shared" si="1"/>
        <v>7654</v>
      </c>
      <c r="H26" t="s">
        <v>15</v>
      </c>
      <c r="I26">
        <v>46322.797685185185</v>
      </c>
      <c r="J26" s="1" t="b">
        <v>1</v>
      </c>
      <c r="K26" s="1" t="b">
        <v>1</v>
      </c>
      <c r="L26" s="7">
        <v>74</v>
      </c>
      <c r="M26" s="7">
        <v>7602</v>
      </c>
    </row>
    <row r="27" spans="1:13">
      <c r="A27" s="8">
        <v>2027</v>
      </c>
      <c r="B27" t="s">
        <v>13</v>
      </c>
      <c r="C27" t="s">
        <v>14</v>
      </c>
      <c r="D27" t="s">
        <v>14</v>
      </c>
      <c r="E27" s="18">
        <v>36</v>
      </c>
      <c r="F27" s="19">
        <f t="shared" si="0"/>
        <v>36</v>
      </c>
      <c r="G27" s="19">
        <f t="shared" si="1"/>
        <v>7810</v>
      </c>
      <c r="H27" t="s">
        <v>15</v>
      </c>
      <c r="I27">
        <v>46322.797685185185</v>
      </c>
      <c r="J27" s="1" t="b">
        <v>1</v>
      </c>
      <c r="K27" s="1" t="b">
        <v>1</v>
      </c>
      <c r="L27" s="7">
        <v>36</v>
      </c>
      <c r="M27" s="7">
        <v>7698</v>
      </c>
    </row>
    <row r="28" spans="1:13">
      <c r="A28" s="8">
        <v>2027</v>
      </c>
      <c r="B28" t="s">
        <v>16</v>
      </c>
      <c r="C28" t="s">
        <v>17</v>
      </c>
      <c r="D28" t="s">
        <v>18</v>
      </c>
      <c r="E28" s="18">
        <v>1090</v>
      </c>
      <c r="F28" s="19">
        <f t="shared" si="0"/>
        <v>3657</v>
      </c>
      <c r="G28" s="19">
        <f t="shared" si="1"/>
        <v>7810</v>
      </c>
      <c r="H28" t="s">
        <v>15</v>
      </c>
      <c r="I28">
        <v>46322.797685185185</v>
      </c>
      <c r="J28" s="1" t="b">
        <v>1</v>
      </c>
      <c r="K28" s="1" t="b">
        <v>1</v>
      </c>
      <c r="L28" s="7">
        <v>3657</v>
      </c>
      <c r="M28" s="7">
        <v>7698</v>
      </c>
    </row>
    <row r="29" spans="1:13">
      <c r="A29" s="8">
        <v>2027</v>
      </c>
      <c r="B29" t="s">
        <v>16</v>
      </c>
      <c r="C29" t="s">
        <v>17</v>
      </c>
      <c r="D29" t="s">
        <v>19</v>
      </c>
      <c r="E29" s="18">
        <v>1989</v>
      </c>
      <c r="F29" s="19">
        <f t="shared" si="0"/>
        <v>3657</v>
      </c>
      <c r="G29" s="19">
        <f t="shared" si="1"/>
        <v>7810</v>
      </c>
      <c r="H29" t="s">
        <v>15</v>
      </c>
      <c r="I29">
        <v>46322.797685185185</v>
      </c>
      <c r="J29" s="1" t="b">
        <v>1</v>
      </c>
      <c r="K29" s="1" t="b">
        <v>1</v>
      </c>
      <c r="L29" s="7">
        <v>3657</v>
      </c>
      <c r="M29" s="7">
        <v>7698</v>
      </c>
    </row>
    <row r="30" spans="1:13">
      <c r="A30" s="8">
        <v>2027</v>
      </c>
      <c r="B30" t="s">
        <v>16</v>
      </c>
      <c r="C30" t="s">
        <v>17</v>
      </c>
      <c r="D30" t="s">
        <v>30</v>
      </c>
      <c r="E30" s="18">
        <v>578</v>
      </c>
      <c r="F30" s="19">
        <f t="shared" si="0"/>
        <v>3657</v>
      </c>
      <c r="G30" s="19">
        <f t="shared" si="1"/>
        <v>7810</v>
      </c>
      <c r="H30" t="s">
        <v>15</v>
      </c>
      <c r="I30">
        <v>46322.797685185185</v>
      </c>
      <c r="J30" s="1" t="b">
        <v>1</v>
      </c>
      <c r="K30" s="1" t="b">
        <v>1</v>
      </c>
      <c r="L30" s="7">
        <v>3657</v>
      </c>
      <c r="M30" s="7">
        <v>7698</v>
      </c>
    </row>
    <row r="31" spans="1:13">
      <c r="A31" s="8">
        <v>2027</v>
      </c>
      <c r="B31" t="s">
        <v>20</v>
      </c>
      <c r="C31" t="s">
        <v>21</v>
      </c>
      <c r="D31" t="s">
        <v>22</v>
      </c>
      <c r="E31" s="18">
        <v>2474</v>
      </c>
      <c r="F31" s="19">
        <f t="shared" si="0"/>
        <v>3987</v>
      </c>
      <c r="G31" s="19">
        <f t="shared" si="1"/>
        <v>7810</v>
      </c>
      <c r="H31" t="s">
        <v>15</v>
      </c>
      <c r="I31">
        <v>46322.797685185185</v>
      </c>
      <c r="J31" s="1" t="b">
        <v>1</v>
      </c>
      <c r="K31" s="1" t="b">
        <v>1</v>
      </c>
      <c r="L31" s="7">
        <v>3875</v>
      </c>
      <c r="M31" s="7">
        <v>7698</v>
      </c>
    </row>
    <row r="32" spans="1:13">
      <c r="A32" s="8">
        <v>2027</v>
      </c>
      <c r="B32" t="s">
        <v>20</v>
      </c>
      <c r="C32" t="s">
        <v>21</v>
      </c>
      <c r="D32" t="s">
        <v>23</v>
      </c>
      <c r="E32" s="18">
        <v>1141</v>
      </c>
      <c r="F32" s="19">
        <f t="shared" si="0"/>
        <v>3987</v>
      </c>
      <c r="G32" s="19">
        <f t="shared" si="1"/>
        <v>7810</v>
      </c>
      <c r="H32" t="s">
        <v>15</v>
      </c>
      <c r="I32">
        <v>46322.797685185185</v>
      </c>
      <c r="J32" s="1" t="b">
        <v>1</v>
      </c>
      <c r="K32" s="1" t="b">
        <v>1</v>
      </c>
      <c r="L32" s="7">
        <v>3875</v>
      </c>
      <c r="M32" s="7">
        <v>7698</v>
      </c>
    </row>
    <row r="33" spans="1:13">
      <c r="A33" s="8">
        <v>2027</v>
      </c>
      <c r="B33" t="s">
        <v>20</v>
      </c>
      <c r="C33" t="s">
        <v>21</v>
      </c>
      <c r="D33" t="s">
        <v>24</v>
      </c>
      <c r="E33" s="18">
        <v>372</v>
      </c>
      <c r="F33" s="19">
        <f t="shared" si="0"/>
        <v>3987</v>
      </c>
      <c r="G33" s="19">
        <f t="shared" si="1"/>
        <v>7810</v>
      </c>
      <c r="H33" t="s">
        <v>15</v>
      </c>
      <c r="I33">
        <v>46322.797685185185</v>
      </c>
      <c r="J33" s="1" t="b">
        <v>1</v>
      </c>
      <c r="K33" s="1" t="b">
        <v>1</v>
      </c>
      <c r="L33" s="7">
        <v>3875</v>
      </c>
      <c r="M33" s="7">
        <v>7698</v>
      </c>
    </row>
    <row r="34" spans="1:13">
      <c r="A34" s="8">
        <v>2027</v>
      </c>
      <c r="B34" t="s">
        <v>25</v>
      </c>
      <c r="C34" t="s">
        <v>26</v>
      </c>
      <c r="D34" t="s">
        <v>26</v>
      </c>
      <c r="E34" s="18">
        <v>66</v>
      </c>
      <c r="F34" s="19">
        <f t="shared" si="0"/>
        <v>66</v>
      </c>
      <c r="G34" s="19">
        <f t="shared" si="1"/>
        <v>7810</v>
      </c>
      <c r="H34" t="s">
        <v>15</v>
      </c>
      <c r="I34">
        <v>46322.797685185185</v>
      </c>
      <c r="J34" s="1" t="b">
        <v>1</v>
      </c>
      <c r="K34" s="1" t="b">
        <v>1</v>
      </c>
      <c r="L34" s="7">
        <v>66</v>
      </c>
      <c r="M34" s="7">
        <v>7698</v>
      </c>
    </row>
    <row r="35" spans="1:13">
      <c r="A35" s="8">
        <v>2027</v>
      </c>
      <c r="B35" t="s">
        <v>27</v>
      </c>
      <c r="C35" t="s">
        <v>28</v>
      </c>
      <c r="D35" t="s">
        <v>29</v>
      </c>
      <c r="E35" s="18">
        <v>64</v>
      </c>
      <c r="F35" s="19">
        <f t="shared" si="0"/>
        <v>64</v>
      </c>
      <c r="G35" s="19">
        <f t="shared" si="1"/>
        <v>7810</v>
      </c>
      <c r="H35" t="s">
        <v>15</v>
      </c>
      <c r="I35">
        <v>46322.797685185185</v>
      </c>
      <c r="J35" s="1" t="b">
        <v>1</v>
      </c>
      <c r="K35" s="1" t="b">
        <v>1</v>
      </c>
      <c r="L35" s="7">
        <v>64</v>
      </c>
      <c r="M35" s="7">
        <v>7698</v>
      </c>
    </row>
    <row r="36" spans="1:13">
      <c r="A36" s="8">
        <v>2028</v>
      </c>
      <c r="B36" t="s">
        <v>13</v>
      </c>
      <c r="C36" t="s">
        <v>14</v>
      </c>
      <c r="D36" t="s">
        <v>14</v>
      </c>
      <c r="E36" s="18">
        <v>0</v>
      </c>
      <c r="F36" s="19">
        <f t="shared" si="0"/>
        <v>0</v>
      </c>
      <c r="G36" s="19">
        <f t="shared" si="1"/>
        <v>8727</v>
      </c>
      <c r="H36" t="s">
        <v>15</v>
      </c>
      <c r="I36">
        <v>46322.797685185185</v>
      </c>
      <c r="J36" s="1" t="b">
        <v>1</v>
      </c>
      <c r="K36" s="1" t="b">
        <v>1</v>
      </c>
      <c r="L36" s="7">
        <v>0</v>
      </c>
      <c r="M36" s="7">
        <v>7996</v>
      </c>
    </row>
    <row r="37" spans="1:13">
      <c r="A37" s="8">
        <v>2028</v>
      </c>
      <c r="B37" t="s">
        <v>16</v>
      </c>
      <c r="C37" t="s">
        <v>17</v>
      </c>
      <c r="D37" t="s">
        <v>18</v>
      </c>
      <c r="E37" s="18">
        <v>818</v>
      </c>
      <c r="F37" s="19">
        <f t="shared" si="0"/>
        <v>3836</v>
      </c>
      <c r="G37" s="19">
        <f t="shared" si="1"/>
        <v>8727</v>
      </c>
      <c r="H37" t="s">
        <v>15</v>
      </c>
      <c r="I37">
        <v>46322.797685185185</v>
      </c>
      <c r="J37" s="1" t="b">
        <v>1</v>
      </c>
      <c r="K37" s="1" t="b">
        <v>1</v>
      </c>
      <c r="L37" s="7">
        <v>3836</v>
      </c>
      <c r="M37" s="7">
        <v>7996</v>
      </c>
    </row>
    <row r="38" spans="1:13">
      <c r="A38" s="8">
        <v>2028</v>
      </c>
      <c r="B38" t="s">
        <v>16</v>
      </c>
      <c r="C38" t="s">
        <v>17</v>
      </c>
      <c r="D38" t="s">
        <v>19</v>
      </c>
      <c r="E38" s="18">
        <v>1843</v>
      </c>
      <c r="F38" s="19">
        <f t="shared" si="0"/>
        <v>3836</v>
      </c>
      <c r="G38" s="19">
        <f t="shared" si="1"/>
        <v>8727</v>
      </c>
      <c r="H38" t="s">
        <v>15</v>
      </c>
      <c r="I38">
        <v>46322.797685185185</v>
      </c>
      <c r="J38" s="1" t="b">
        <v>1</v>
      </c>
      <c r="K38" s="1" t="b">
        <v>1</v>
      </c>
      <c r="L38" s="7">
        <v>3836</v>
      </c>
      <c r="M38" s="7">
        <v>7996</v>
      </c>
    </row>
    <row r="39" spans="1:13">
      <c r="A39" s="8">
        <v>2028</v>
      </c>
      <c r="B39" t="s">
        <v>16</v>
      </c>
      <c r="C39" t="s">
        <v>17</v>
      </c>
      <c r="D39" t="s">
        <v>30</v>
      </c>
      <c r="E39" s="18">
        <v>1175</v>
      </c>
      <c r="F39" s="19">
        <f t="shared" si="0"/>
        <v>3836</v>
      </c>
      <c r="G39" s="19">
        <f t="shared" si="1"/>
        <v>8727</v>
      </c>
      <c r="H39" t="s">
        <v>15</v>
      </c>
      <c r="I39">
        <v>46322.797685185185</v>
      </c>
      <c r="J39" s="1" t="b">
        <v>1</v>
      </c>
      <c r="K39" s="1" t="b">
        <v>1</v>
      </c>
      <c r="L39" s="7">
        <v>3836</v>
      </c>
      <c r="M39" s="7">
        <v>7996</v>
      </c>
    </row>
    <row r="40" spans="1:13">
      <c r="A40" s="8">
        <v>2028</v>
      </c>
      <c r="B40" t="s">
        <v>20</v>
      </c>
      <c r="C40" t="s">
        <v>21</v>
      </c>
      <c r="D40" t="s">
        <v>22</v>
      </c>
      <c r="E40" s="18">
        <v>3730</v>
      </c>
      <c r="F40" s="19">
        <f t="shared" si="0"/>
        <v>4859</v>
      </c>
      <c r="G40" s="19">
        <f t="shared" si="1"/>
        <v>8727</v>
      </c>
      <c r="H40" t="s">
        <v>15</v>
      </c>
      <c r="I40">
        <v>46322.797685185185</v>
      </c>
      <c r="J40" s="1" t="b">
        <v>1</v>
      </c>
      <c r="K40" s="1" t="b">
        <v>1</v>
      </c>
      <c r="L40" s="7">
        <v>4128</v>
      </c>
      <c r="M40" s="7">
        <v>7996</v>
      </c>
    </row>
    <row r="41" spans="1:13">
      <c r="A41" s="8">
        <v>2028</v>
      </c>
      <c r="B41" t="s">
        <v>20</v>
      </c>
      <c r="C41" t="s">
        <v>21</v>
      </c>
      <c r="D41" t="s">
        <v>23</v>
      </c>
      <c r="E41" s="18">
        <v>749</v>
      </c>
      <c r="F41" s="19">
        <f t="shared" si="0"/>
        <v>4859</v>
      </c>
      <c r="G41" s="19">
        <f t="shared" si="1"/>
        <v>8727</v>
      </c>
      <c r="H41" t="s">
        <v>15</v>
      </c>
      <c r="I41">
        <v>46322.797685185185</v>
      </c>
      <c r="J41" s="1" t="b">
        <v>1</v>
      </c>
      <c r="K41" s="1" t="b">
        <v>1</v>
      </c>
      <c r="L41" s="7">
        <v>4128</v>
      </c>
      <c r="M41" s="7">
        <v>7996</v>
      </c>
    </row>
    <row r="42" spans="1:13">
      <c r="A42" s="8">
        <v>2028</v>
      </c>
      <c r="B42" t="s">
        <v>20</v>
      </c>
      <c r="C42" t="s">
        <v>21</v>
      </c>
      <c r="D42" t="s">
        <v>24</v>
      </c>
      <c r="E42" s="18">
        <v>380</v>
      </c>
      <c r="F42" s="19">
        <f t="shared" si="0"/>
        <v>4859</v>
      </c>
      <c r="G42" s="19">
        <f t="shared" si="1"/>
        <v>8727</v>
      </c>
      <c r="H42" t="s">
        <v>15</v>
      </c>
      <c r="I42">
        <v>46322.797685185185</v>
      </c>
      <c r="J42" s="1" t="b">
        <v>1</v>
      </c>
      <c r="K42" s="1" t="b">
        <v>1</v>
      </c>
      <c r="L42" s="7">
        <v>4128</v>
      </c>
      <c r="M42" s="7">
        <v>7996</v>
      </c>
    </row>
    <row r="43" spans="1:13">
      <c r="A43" s="8">
        <v>2028</v>
      </c>
      <c r="B43" t="s">
        <v>25</v>
      </c>
      <c r="C43" t="s">
        <v>26</v>
      </c>
      <c r="D43" t="s">
        <v>26</v>
      </c>
      <c r="E43" s="18">
        <v>8</v>
      </c>
      <c r="F43" s="19">
        <f t="shared" si="0"/>
        <v>8</v>
      </c>
      <c r="G43" s="19">
        <f t="shared" si="1"/>
        <v>8727</v>
      </c>
      <c r="H43" t="s">
        <v>15</v>
      </c>
      <c r="I43">
        <v>46322.797685185185</v>
      </c>
      <c r="J43" s="1" t="b">
        <v>1</v>
      </c>
      <c r="K43" s="1" t="b">
        <v>1</v>
      </c>
      <c r="L43" s="7">
        <v>8</v>
      </c>
      <c r="M43" s="7">
        <v>7996</v>
      </c>
    </row>
    <row r="44" spans="1:13">
      <c r="A44" s="8">
        <v>2028</v>
      </c>
      <c r="B44" t="s">
        <v>27</v>
      </c>
      <c r="C44" t="s">
        <v>28</v>
      </c>
      <c r="D44" t="s">
        <v>29</v>
      </c>
      <c r="E44" s="18">
        <v>24</v>
      </c>
      <c r="F44" s="19">
        <f t="shared" si="0"/>
        <v>24</v>
      </c>
      <c r="G44" s="19">
        <f t="shared" si="1"/>
        <v>8727</v>
      </c>
      <c r="H44" t="s">
        <v>15</v>
      </c>
      <c r="I44">
        <v>46322.797685185185</v>
      </c>
      <c r="J44" s="1" t="b">
        <v>1</v>
      </c>
      <c r="K44" s="1" t="b">
        <v>1</v>
      </c>
      <c r="L44" s="7">
        <v>24</v>
      </c>
      <c r="M44" s="7">
        <v>7996</v>
      </c>
    </row>
    <row r="45" spans="1:13">
      <c r="A45" s="8">
        <v>2029</v>
      </c>
      <c r="B45" t="s">
        <v>13</v>
      </c>
      <c r="C45" t="s">
        <v>14</v>
      </c>
      <c r="D45" t="s">
        <v>14</v>
      </c>
      <c r="E45" s="18">
        <v>0</v>
      </c>
      <c r="F45" s="19">
        <f t="shared" si="0"/>
        <v>0</v>
      </c>
      <c r="G45" s="19">
        <f t="shared" si="1"/>
        <v>6488</v>
      </c>
      <c r="H45" t="s">
        <v>15</v>
      </c>
      <c r="I45">
        <v>46322.797685185185</v>
      </c>
      <c r="J45" s="1" t="b">
        <v>1</v>
      </c>
      <c r="K45" s="1" t="b">
        <v>1</v>
      </c>
      <c r="L45" s="7">
        <v>0</v>
      </c>
      <c r="M45" s="7">
        <v>5800</v>
      </c>
    </row>
    <row r="46" spans="1:13">
      <c r="A46" s="8">
        <v>2029</v>
      </c>
      <c r="B46" t="s">
        <v>16</v>
      </c>
      <c r="C46" t="s">
        <v>17</v>
      </c>
      <c r="D46" t="s">
        <v>18</v>
      </c>
      <c r="E46" s="18">
        <v>685</v>
      </c>
      <c r="F46" s="19">
        <f t="shared" si="0"/>
        <v>2501</v>
      </c>
      <c r="G46" s="19">
        <f t="shared" si="1"/>
        <v>6488</v>
      </c>
      <c r="H46" t="s">
        <v>15</v>
      </c>
      <c r="I46">
        <v>46322.797685185185</v>
      </c>
      <c r="J46" s="1" t="b">
        <v>1</v>
      </c>
      <c r="K46" s="1" t="b">
        <v>1</v>
      </c>
      <c r="L46" s="7">
        <v>2501</v>
      </c>
      <c r="M46" s="7">
        <v>5800</v>
      </c>
    </row>
    <row r="47" spans="1:13">
      <c r="A47" s="8">
        <v>2029</v>
      </c>
      <c r="B47" t="s">
        <v>16</v>
      </c>
      <c r="C47" t="s">
        <v>17</v>
      </c>
      <c r="D47" t="s">
        <v>19</v>
      </c>
      <c r="E47" s="18">
        <v>1403</v>
      </c>
      <c r="F47" s="19">
        <f t="shared" si="0"/>
        <v>2501</v>
      </c>
      <c r="G47" s="19">
        <f t="shared" si="1"/>
        <v>6488</v>
      </c>
      <c r="H47" t="s">
        <v>15</v>
      </c>
      <c r="I47">
        <v>46322.797685185185</v>
      </c>
      <c r="J47" s="1" t="b">
        <v>1</v>
      </c>
      <c r="K47" s="1" t="b">
        <v>1</v>
      </c>
      <c r="L47" s="7">
        <v>2501</v>
      </c>
      <c r="M47" s="7">
        <v>5800</v>
      </c>
    </row>
    <row r="48" spans="1:13">
      <c r="A48" s="8">
        <v>2029</v>
      </c>
      <c r="B48" t="s">
        <v>16</v>
      </c>
      <c r="C48" t="s">
        <v>17</v>
      </c>
      <c r="D48" t="s">
        <v>30</v>
      </c>
      <c r="E48" s="18">
        <v>413</v>
      </c>
      <c r="F48" s="19">
        <f t="shared" si="0"/>
        <v>2501</v>
      </c>
      <c r="G48" s="19">
        <f t="shared" si="1"/>
        <v>6488</v>
      </c>
      <c r="H48" t="s">
        <v>15</v>
      </c>
      <c r="I48">
        <v>46322.797685185185</v>
      </c>
      <c r="J48" s="1" t="b">
        <v>1</v>
      </c>
      <c r="K48" s="1" t="b">
        <v>1</v>
      </c>
      <c r="L48" s="7">
        <v>2501</v>
      </c>
      <c r="M48" s="7">
        <v>5800</v>
      </c>
    </row>
    <row r="49" spans="1:13">
      <c r="A49" s="8">
        <v>2029</v>
      </c>
      <c r="B49" t="s">
        <v>20</v>
      </c>
      <c r="C49" t="s">
        <v>21</v>
      </c>
      <c r="D49" t="s">
        <v>22</v>
      </c>
      <c r="E49" s="18">
        <v>3531</v>
      </c>
      <c r="F49" s="19">
        <f t="shared" si="0"/>
        <v>3966</v>
      </c>
      <c r="G49" s="19">
        <f t="shared" si="1"/>
        <v>6488</v>
      </c>
      <c r="H49" t="s">
        <v>15</v>
      </c>
      <c r="I49">
        <v>46322.797685185185</v>
      </c>
      <c r="J49" s="1" t="b">
        <v>1</v>
      </c>
      <c r="K49" s="1" t="b">
        <v>1</v>
      </c>
      <c r="L49" s="7">
        <v>3278</v>
      </c>
      <c r="M49" s="7">
        <v>5800</v>
      </c>
    </row>
    <row r="50" spans="1:13">
      <c r="A50" s="8">
        <v>2029</v>
      </c>
      <c r="B50" t="s">
        <v>20</v>
      </c>
      <c r="C50" t="s">
        <v>21</v>
      </c>
      <c r="D50" t="s">
        <v>23</v>
      </c>
      <c r="E50" s="18">
        <v>229</v>
      </c>
      <c r="F50" s="19">
        <f t="shared" si="0"/>
        <v>3966</v>
      </c>
      <c r="G50" s="19">
        <f t="shared" si="1"/>
        <v>6488</v>
      </c>
      <c r="H50" t="s">
        <v>15</v>
      </c>
      <c r="I50">
        <v>46322.797685185185</v>
      </c>
      <c r="J50" s="1" t="b">
        <v>1</v>
      </c>
      <c r="K50" s="1" t="b">
        <v>1</v>
      </c>
      <c r="L50" s="7">
        <v>3278</v>
      </c>
      <c r="M50" s="7">
        <v>5800</v>
      </c>
    </row>
    <row r="51" spans="1:13">
      <c r="A51" s="8">
        <v>2029</v>
      </c>
      <c r="B51" t="s">
        <v>20</v>
      </c>
      <c r="C51" t="s">
        <v>21</v>
      </c>
      <c r="D51" t="s">
        <v>24</v>
      </c>
      <c r="E51" s="18">
        <v>206</v>
      </c>
      <c r="F51" s="19">
        <f t="shared" si="0"/>
        <v>3966</v>
      </c>
      <c r="G51" s="19">
        <f t="shared" si="1"/>
        <v>6488</v>
      </c>
      <c r="H51" t="s">
        <v>15</v>
      </c>
      <c r="I51">
        <v>46322.797685185185</v>
      </c>
      <c r="J51" s="1" t="b">
        <v>1</v>
      </c>
      <c r="K51" s="1" t="b">
        <v>1</v>
      </c>
      <c r="L51" s="7">
        <v>3278</v>
      </c>
      <c r="M51" s="7">
        <v>5800</v>
      </c>
    </row>
    <row r="52" spans="1:13">
      <c r="A52" s="8">
        <v>2029</v>
      </c>
      <c r="B52" t="s">
        <v>25</v>
      </c>
      <c r="C52" t="s">
        <v>26</v>
      </c>
      <c r="D52" t="s">
        <v>26</v>
      </c>
      <c r="E52" s="18">
        <v>0</v>
      </c>
      <c r="F52" s="19">
        <f t="shared" si="0"/>
        <v>0</v>
      </c>
      <c r="G52" s="19">
        <f t="shared" si="1"/>
        <v>6488</v>
      </c>
      <c r="H52" t="s">
        <v>15</v>
      </c>
      <c r="I52">
        <v>46322.797685185185</v>
      </c>
      <c r="J52" s="1" t="b">
        <v>1</v>
      </c>
      <c r="K52" s="1" t="b">
        <v>1</v>
      </c>
      <c r="L52" s="7">
        <v>0</v>
      </c>
      <c r="M52" s="7">
        <v>5800</v>
      </c>
    </row>
    <row r="53" spans="1:13">
      <c r="A53" s="8">
        <v>2029</v>
      </c>
      <c r="B53" t="s">
        <v>27</v>
      </c>
      <c r="C53" t="s">
        <v>28</v>
      </c>
      <c r="D53" t="s">
        <v>29</v>
      </c>
      <c r="E53" s="18">
        <v>21</v>
      </c>
      <c r="F53" s="19">
        <f t="shared" si="0"/>
        <v>21</v>
      </c>
      <c r="G53" s="19">
        <f t="shared" si="1"/>
        <v>6488</v>
      </c>
      <c r="H53" t="s">
        <v>15</v>
      </c>
      <c r="I53">
        <v>46322.797685185185</v>
      </c>
      <c r="J53" s="1" t="b">
        <v>1</v>
      </c>
      <c r="K53" s="1" t="b">
        <v>1</v>
      </c>
      <c r="L53" s="7">
        <v>21</v>
      </c>
      <c r="M53" s="7">
        <v>5800</v>
      </c>
    </row>
    <row r="54" spans="1:13">
      <c r="A54" s="8">
        <v>2030</v>
      </c>
      <c r="B54" t="s">
        <v>13</v>
      </c>
      <c r="C54" t="s">
        <v>14</v>
      </c>
      <c r="D54" t="s">
        <v>14</v>
      </c>
      <c r="E54" s="18">
        <v>0</v>
      </c>
      <c r="F54" s="19">
        <f t="shared" si="0"/>
        <v>0</v>
      </c>
      <c r="G54" s="19">
        <f t="shared" si="1"/>
        <v>5975</v>
      </c>
      <c r="H54" t="s">
        <v>15</v>
      </c>
      <c r="I54">
        <v>46322.797685185185</v>
      </c>
      <c r="J54" s="1" t="b">
        <v>1</v>
      </c>
      <c r="K54" s="1" t="b">
        <v>1</v>
      </c>
      <c r="L54" s="7">
        <v>0</v>
      </c>
      <c r="M54" s="7">
        <v>4701</v>
      </c>
    </row>
    <row r="55" spans="1:13">
      <c r="A55" s="8">
        <v>2030</v>
      </c>
      <c r="B55" t="s">
        <v>16</v>
      </c>
      <c r="C55" t="s">
        <v>17</v>
      </c>
      <c r="D55" t="s">
        <v>18</v>
      </c>
      <c r="E55" s="18">
        <v>685</v>
      </c>
      <c r="F55" s="19">
        <f t="shared" si="0"/>
        <v>2249</v>
      </c>
      <c r="G55" s="19">
        <f t="shared" si="1"/>
        <v>5975</v>
      </c>
      <c r="H55" t="s">
        <v>15</v>
      </c>
      <c r="I55">
        <v>46322.797685185185</v>
      </c>
      <c r="J55" s="1" t="b">
        <v>1</v>
      </c>
      <c r="K55" s="1" t="b">
        <v>1</v>
      </c>
      <c r="L55" s="7">
        <v>2249</v>
      </c>
      <c r="M55" s="7">
        <v>4701</v>
      </c>
    </row>
    <row r="56" spans="1:13">
      <c r="A56" s="8">
        <v>2030</v>
      </c>
      <c r="B56" t="s">
        <v>16</v>
      </c>
      <c r="C56" t="s">
        <v>17</v>
      </c>
      <c r="D56" t="s">
        <v>19</v>
      </c>
      <c r="E56" s="18">
        <v>1564</v>
      </c>
      <c r="F56" s="19">
        <f t="shared" si="0"/>
        <v>2249</v>
      </c>
      <c r="G56" s="19">
        <f t="shared" si="1"/>
        <v>5975</v>
      </c>
      <c r="H56" t="s">
        <v>15</v>
      </c>
      <c r="I56">
        <v>46322.797685185185</v>
      </c>
      <c r="J56" s="1" t="b">
        <v>1</v>
      </c>
      <c r="K56" s="1" t="b">
        <v>1</v>
      </c>
      <c r="L56" s="7">
        <v>2249</v>
      </c>
      <c r="M56" s="7">
        <v>4701</v>
      </c>
    </row>
    <row r="57" spans="1:13">
      <c r="A57" s="8">
        <v>2030</v>
      </c>
      <c r="B57" t="s">
        <v>20</v>
      </c>
      <c r="C57" t="s">
        <v>21</v>
      </c>
      <c r="D57" t="s">
        <v>22</v>
      </c>
      <c r="E57" s="18">
        <v>3497</v>
      </c>
      <c r="F57" s="19">
        <f t="shared" si="0"/>
        <v>3724</v>
      </c>
      <c r="G57" s="19">
        <f t="shared" si="1"/>
        <v>5975</v>
      </c>
      <c r="H57" t="s">
        <v>15</v>
      </c>
      <c r="I57">
        <v>46322.797685185185</v>
      </c>
      <c r="J57" s="1" t="b">
        <v>1</v>
      </c>
      <c r="K57" s="1" t="b">
        <v>1</v>
      </c>
      <c r="L57" s="7">
        <v>2450</v>
      </c>
      <c r="M57" s="7">
        <v>4701</v>
      </c>
    </row>
    <row r="58" spans="1:13">
      <c r="A58" s="8">
        <v>2030</v>
      </c>
      <c r="B58" t="s">
        <v>20</v>
      </c>
      <c r="C58" t="s">
        <v>21</v>
      </c>
      <c r="D58" t="s">
        <v>23</v>
      </c>
      <c r="E58" s="18">
        <v>190</v>
      </c>
      <c r="F58" s="19">
        <f t="shared" si="0"/>
        <v>3724</v>
      </c>
      <c r="G58" s="19">
        <f t="shared" si="1"/>
        <v>5975</v>
      </c>
      <c r="H58" t="s">
        <v>15</v>
      </c>
      <c r="I58">
        <v>46322.797685185185</v>
      </c>
      <c r="J58" s="1" t="b">
        <v>1</v>
      </c>
      <c r="K58" s="1" t="b">
        <v>1</v>
      </c>
      <c r="L58" s="7">
        <v>2450</v>
      </c>
      <c r="M58" s="7">
        <v>4701</v>
      </c>
    </row>
    <row r="59" spans="1:13">
      <c r="A59" s="8">
        <v>2030</v>
      </c>
      <c r="B59" t="s">
        <v>20</v>
      </c>
      <c r="C59" t="s">
        <v>21</v>
      </c>
      <c r="D59" t="s">
        <v>24</v>
      </c>
      <c r="E59" s="18">
        <v>37</v>
      </c>
      <c r="F59" s="19">
        <f t="shared" si="0"/>
        <v>3724</v>
      </c>
      <c r="G59" s="19">
        <f t="shared" si="1"/>
        <v>5975</v>
      </c>
      <c r="H59" t="s">
        <v>15</v>
      </c>
      <c r="I59">
        <v>46322.797685185185</v>
      </c>
      <c r="J59" s="1" t="b">
        <v>1</v>
      </c>
      <c r="K59" s="1" t="b">
        <v>1</v>
      </c>
      <c r="L59" s="7">
        <v>2450</v>
      </c>
      <c r="M59" s="7">
        <v>4701</v>
      </c>
    </row>
    <row r="60" spans="1:13">
      <c r="A60" s="8">
        <v>2030</v>
      </c>
      <c r="B60" t="s">
        <v>25</v>
      </c>
      <c r="C60" t="s">
        <v>26</v>
      </c>
      <c r="D60" t="s">
        <v>26</v>
      </c>
      <c r="E60" s="18">
        <v>0</v>
      </c>
      <c r="F60" s="19">
        <f t="shared" si="0"/>
        <v>0</v>
      </c>
      <c r="G60" s="19">
        <f t="shared" si="1"/>
        <v>5975</v>
      </c>
      <c r="H60" t="s">
        <v>15</v>
      </c>
      <c r="I60">
        <v>46322.797685185185</v>
      </c>
      <c r="J60" s="1" t="b">
        <v>1</v>
      </c>
      <c r="K60" s="1" t="b">
        <v>1</v>
      </c>
      <c r="L60" s="7">
        <v>0</v>
      </c>
      <c r="M60" s="7">
        <v>4701</v>
      </c>
    </row>
    <row r="61" spans="1:13">
      <c r="A61" s="8">
        <v>2030</v>
      </c>
      <c r="B61" t="s">
        <v>27</v>
      </c>
      <c r="C61" t="s">
        <v>28</v>
      </c>
      <c r="D61" t="s">
        <v>29</v>
      </c>
      <c r="E61" s="18">
        <v>2</v>
      </c>
      <c r="F61" s="19">
        <f t="shared" si="0"/>
        <v>2</v>
      </c>
      <c r="G61" s="19">
        <f t="shared" si="1"/>
        <v>5975</v>
      </c>
      <c r="H61" t="s">
        <v>15</v>
      </c>
      <c r="I61">
        <v>46322.797685185185</v>
      </c>
      <c r="J61" s="1" t="b">
        <v>1</v>
      </c>
      <c r="K61" s="1" t="b">
        <v>1</v>
      </c>
      <c r="L61" s="7">
        <v>2</v>
      </c>
      <c r="M61" s="7">
        <v>4701</v>
      </c>
    </row>
    <row r="62" spans="1:13">
      <c r="A62" s="8">
        <v>2031</v>
      </c>
      <c r="B62" t="s">
        <v>13</v>
      </c>
      <c r="C62" t="s">
        <v>14</v>
      </c>
      <c r="D62" t="s">
        <v>14</v>
      </c>
      <c r="E62" s="18">
        <v>0</v>
      </c>
      <c r="F62" s="19">
        <f t="shared" si="0"/>
        <v>0</v>
      </c>
      <c r="G62" s="19">
        <f t="shared" si="1"/>
        <v>4354</v>
      </c>
      <c r="H62" t="s">
        <v>15</v>
      </c>
      <c r="I62">
        <v>46322.797685185185</v>
      </c>
      <c r="J62" s="1" t="b">
        <v>1</v>
      </c>
      <c r="K62" s="1" t="b">
        <v>1</v>
      </c>
      <c r="L62" s="7">
        <v>0</v>
      </c>
      <c r="M62" s="7">
        <v>3575</v>
      </c>
    </row>
    <row r="63" spans="1:13">
      <c r="A63" s="8">
        <v>2031</v>
      </c>
      <c r="B63" t="s">
        <v>16</v>
      </c>
      <c r="C63" t="s">
        <v>17</v>
      </c>
      <c r="D63" t="s">
        <v>18</v>
      </c>
      <c r="E63" s="18">
        <v>685</v>
      </c>
      <c r="F63" s="19">
        <f t="shared" si="0"/>
        <v>2072</v>
      </c>
      <c r="G63" s="19">
        <f t="shared" si="1"/>
        <v>4354</v>
      </c>
      <c r="H63" t="s">
        <v>15</v>
      </c>
      <c r="I63">
        <v>46322.797685185185</v>
      </c>
      <c r="J63" s="1" t="b">
        <v>1</v>
      </c>
      <c r="K63" s="1" t="b">
        <v>1</v>
      </c>
      <c r="L63" s="7">
        <v>2072</v>
      </c>
      <c r="M63" s="7">
        <v>3575</v>
      </c>
    </row>
    <row r="64" spans="1:13">
      <c r="A64" s="8">
        <v>2031</v>
      </c>
      <c r="B64" t="s">
        <v>16</v>
      </c>
      <c r="C64" t="s">
        <v>17</v>
      </c>
      <c r="D64" t="s">
        <v>19</v>
      </c>
      <c r="E64" s="18">
        <v>1387</v>
      </c>
      <c r="F64" s="19">
        <f t="shared" si="0"/>
        <v>2072</v>
      </c>
      <c r="G64" s="19">
        <f t="shared" si="1"/>
        <v>4354</v>
      </c>
      <c r="H64" t="s">
        <v>15</v>
      </c>
      <c r="I64">
        <v>46322.797685185185</v>
      </c>
      <c r="J64" s="1" t="b">
        <v>1</v>
      </c>
      <c r="K64" s="1" t="b">
        <v>1</v>
      </c>
      <c r="L64" s="7">
        <v>2072</v>
      </c>
      <c r="M64" s="7">
        <v>3575</v>
      </c>
    </row>
    <row r="65" spans="1:13">
      <c r="A65" s="8">
        <v>2031</v>
      </c>
      <c r="B65" t="s">
        <v>20</v>
      </c>
      <c r="C65" t="s">
        <v>21</v>
      </c>
      <c r="D65" t="s">
        <v>22</v>
      </c>
      <c r="E65" s="18">
        <v>1923</v>
      </c>
      <c r="F65" s="19">
        <f t="shared" si="0"/>
        <v>2282</v>
      </c>
      <c r="G65" s="19">
        <f t="shared" si="1"/>
        <v>4354</v>
      </c>
      <c r="H65" t="s">
        <v>15</v>
      </c>
      <c r="I65">
        <v>46322.797685185185</v>
      </c>
      <c r="J65" s="1" t="b">
        <v>1</v>
      </c>
      <c r="K65" s="1" t="b">
        <v>1</v>
      </c>
      <c r="L65" s="7">
        <v>1503</v>
      </c>
      <c r="M65" s="7">
        <v>3575</v>
      </c>
    </row>
    <row r="66" spans="1:13">
      <c r="A66" s="8">
        <v>2031</v>
      </c>
      <c r="B66" t="s">
        <v>20</v>
      </c>
      <c r="C66" t="s">
        <v>21</v>
      </c>
      <c r="D66" t="s">
        <v>23</v>
      </c>
      <c r="E66" s="18">
        <v>339</v>
      </c>
      <c r="F66" s="19">
        <f t="shared" ref="F66:F129" si="2">SUMIFS($E$2:$E$269,$A$2:$A$269,$A66,$B$2:$B$269,$B66)</f>
        <v>2282</v>
      </c>
      <c r="G66" s="19">
        <f t="shared" ref="G66:G129" si="3">SUMIF($A$2:$A$269,$A66,$E$2:$E$269)</f>
        <v>4354</v>
      </c>
      <c r="H66" t="s">
        <v>15</v>
      </c>
      <c r="I66">
        <v>46322.797685185185</v>
      </c>
      <c r="J66" s="1" t="b">
        <v>1</v>
      </c>
      <c r="K66" s="1" t="b">
        <v>1</v>
      </c>
      <c r="L66" s="7">
        <v>1503</v>
      </c>
      <c r="M66" s="7">
        <v>3575</v>
      </c>
    </row>
    <row r="67" spans="1:13">
      <c r="A67" s="8">
        <v>2031</v>
      </c>
      <c r="B67" t="s">
        <v>20</v>
      </c>
      <c r="C67" t="s">
        <v>21</v>
      </c>
      <c r="D67" t="s">
        <v>24</v>
      </c>
      <c r="E67" s="18">
        <v>20</v>
      </c>
      <c r="F67" s="19">
        <f t="shared" si="2"/>
        <v>2282</v>
      </c>
      <c r="G67" s="19">
        <f t="shared" si="3"/>
        <v>4354</v>
      </c>
      <c r="H67" t="s">
        <v>15</v>
      </c>
      <c r="I67">
        <v>46322.797685185185</v>
      </c>
      <c r="J67" s="1" t="b">
        <v>1</v>
      </c>
      <c r="K67" s="1" t="b">
        <v>1</v>
      </c>
      <c r="L67" s="7">
        <v>1503</v>
      </c>
      <c r="M67" s="7">
        <v>3575</v>
      </c>
    </row>
    <row r="68" spans="1:13">
      <c r="A68" s="8">
        <v>2031</v>
      </c>
      <c r="B68" t="s">
        <v>25</v>
      </c>
      <c r="C68" t="s">
        <v>26</v>
      </c>
      <c r="D68" t="s">
        <v>26</v>
      </c>
      <c r="E68" s="18">
        <v>0</v>
      </c>
      <c r="F68" s="19">
        <f t="shared" si="2"/>
        <v>0</v>
      </c>
      <c r="G68" s="19">
        <f t="shared" si="3"/>
        <v>4354</v>
      </c>
      <c r="H68" t="s">
        <v>15</v>
      </c>
      <c r="I68">
        <v>46322.797685185185</v>
      </c>
      <c r="J68" s="1" t="b">
        <v>1</v>
      </c>
      <c r="K68" s="1" t="b">
        <v>1</v>
      </c>
      <c r="L68" s="7">
        <v>0</v>
      </c>
      <c r="M68" s="7">
        <v>3575</v>
      </c>
    </row>
    <row r="69" spans="1:13">
      <c r="A69" s="8">
        <v>2031</v>
      </c>
      <c r="B69" t="s">
        <v>27</v>
      </c>
      <c r="C69" t="s">
        <v>28</v>
      </c>
      <c r="D69" t="s">
        <v>29</v>
      </c>
      <c r="E69" s="18">
        <v>0</v>
      </c>
      <c r="F69" s="19">
        <f t="shared" si="2"/>
        <v>0</v>
      </c>
      <c r="G69" s="19">
        <f t="shared" si="3"/>
        <v>4354</v>
      </c>
      <c r="H69" t="s">
        <v>15</v>
      </c>
      <c r="I69">
        <v>46322.797685185185</v>
      </c>
      <c r="J69" s="1" t="b">
        <v>1</v>
      </c>
      <c r="K69" s="1" t="b">
        <v>1</v>
      </c>
      <c r="L69" s="7">
        <v>0</v>
      </c>
      <c r="M69" s="7">
        <v>3575</v>
      </c>
    </row>
    <row r="70" spans="1:13">
      <c r="A70" s="8">
        <v>2032</v>
      </c>
      <c r="B70" t="s">
        <v>13</v>
      </c>
      <c r="C70" t="s">
        <v>14</v>
      </c>
      <c r="D70" t="s">
        <v>14</v>
      </c>
      <c r="E70" s="18">
        <v>0</v>
      </c>
      <c r="F70" s="19">
        <f t="shared" si="2"/>
        <v>0</v>
      </c>
      <c r="G70" s="19">
        <f t="shared" si="3"/>
        <v>2700</v>
      </c>
      <c r="H70" t="s">
        <v>15</v>
      </c>
      <c r="I70">
        <v>46322.797685185185</v>
      </c>
      <c r="J70" s="1" t="b">
        <v>1</v>
      </c>
      <c r="K70" s="1" t="b">
        <v>1</v>
      </c>
      <c r="L70" s="7">
        <v>0</v>
      </c>
      <c r="M70" s="7">
        <v>2510</v>
      </c>
    </row>
    <row r="71" spans="1:13">
      <c r="A71" s="8">
        <v>2032</v>
      </c>
      <c r="B71" t="s">
        <v>16</v>
      </c>
      <c r="C71" t="s">
        <v>17</v>
      </c>
      <c r="D71" t="s">
        <v>18</v>
      </c>
      <c r="E71" s="18">
        <v>685</v>
      </c>
      <c r="F71" s="19">
        <f t="shared" si="2"/>
        <v>2094</v>
      </c>
      <c r="G71" s="19">
        <f t="shared" si="3"/>
        <v>2700</v>
      </c>
      <c r="H71" t="s">
        <v>15</v>
      </c>
      <c r="I71">
        <v>46322.797685185185</v>
      </c>
      <c r="J71" s="1" t="b">
        <v>1</v>
      </c>
      <c r="K71" s="1" t="b">
        <v>1</v>
      </c>
      <c r="L71" s="7">
        <v>2094</v>
      </c>
      <c r="M71" s="7">
        <v>2510</v>
      </c>
    </row>
    <row r="72" spans="1:13">
      <c r="A72" s="8">
        <v>2032</v>
      </c>
      <c r="B72" t="s">
        <v>16</v>
      </c>
      <c r="C72" t="s">
        <v>17</v>
      </c>
      <c r="D72" t="s">
        <v>19</v>
      </c>
      <c r="E72" s="18">
        <v>1409</v>
      </c>
      <c r="F72" s="19">
        <f t="shared" si="2"/>
        <v>2094</v>
      </c>
      <c r="G72" s="19">
        <f t="shared" si="3"/>
        <v>2700</v>
      </c>
      <c r="H72" t="s">
        <v>15</v>
      </c>
      <c r="I72">
        <v>46322.797685185185</v>
      </c>
      <c r="J72" s="1" t="b">
        <v>1</v>
      </c>
      <c r="K72" s="1" t="b">
        <v>1</v>
      </c>
      <c r="L72" s="7">
        <v>2094</v>
      </c>
      <c r="M72" s="7">
        <v>2510</v>
      </c>
    </row>
    <row r="73" spans="1:13">
      <c r="A73" s="8">
        <v>2032</v>
      </c>
      <c r="B73" t="s">
        <v>20</v>
      </c>
      <c r="C73" t="s">
        <v>21</v>
      </c>
      <c r="D73" t="s">
        <v>22</v>
      </c>
      <c r="E73" s="18">
        <v>201</v>
      </c>
      <c r="F73" s="19">
        <f t="shared" si="2"/>
        <v>606</v>
      </c>
      <c r="G73" s="19">
        <f t="shared" si="3"/>
        <v>2700</v>
      </c>
      <c r="H73" t="s">
        <v>15</v>
      </c>
      <c r="I73">
        <v>46322.797685185185</v>
      </c>
      <c r="J73" s="1" t="b">
        <v>1</v>
      </c>
      <c r="K73" s="1" t="b">
        <v>1</v>
      </c>
      <c r="L73" s="7">
        <v>416</v>
      </c>
      <c r="M73" s="7">
        <v>2510</v>
      </c>
    </row>
    <row r="74" spans="1:13">
      <c r="A74" s="8">
        <v>2032</v>
      </c>
      <c r="B74" t="s">
        <v>20</v>
      </c>
      <c r="C74" t="s">
        <v>21</v>
      </c>
      <c r="D74" t="s">
        <v>23</v>
      </c>
      <c r="E74" s="18">
        <v>384</v>
      </c>
      <c r="F74" s="19">
        <f t="shared" si="2"/>
        <v>606</v>
      </c>
      <c r="G74" s="19">
        <f t="shared" si="3"/>
        <v>2700</v>
      </c>
      <c r="H74" t="s">
        <v>15</v>
      </c>
      <c r="I74">
        <v>46322.797685185185</v>
      </c>
      <c r="J74" s="1" t="b">
        <v>1</v>
      </c>
      <c r="K74" s="1" t="b">
        <v>1</v>
      </c>
      <c r="L74" s="7">
        <v>416</v>
      </c>
      <c r="M74" s="7">
        <v>2510</v>
      </c>
    </row>
    <row r="75" spans="1:13">
      <c r="A75" s="8">
        <v>2032</v>
      </c>
      <c r="B75" t="s">
        <v>20</v>
      </c>
      <c r="C75" t="s">
        <v>21</v>
      </c>
      <c r="D75" t="s">
        <v>24</v>
      </c>
      <c r="E75" s="18">
        <v>21</v>
      </c>
      <c r="F75" s="19">
        <f t="shared" si="2"/>
        <v>606</v>
      </c>
      <c r="G75" s="19">
        <f t="shared" si="3"/>
        <v>2700</v>
      </c>
      <c r="H75" t="s">
        <v>15</v>
      </c>
      <c r="I75">
        <v>46322.797685185185</v>
      </c>
      <c r="J75" s="1" t="b">
        <v>1</v>
      </c>
      <c r="K75" s="1" t="b">
        <v>1</v>
      </c>
      <c r="L75" s="7">
        <v>416</v>
      </c>
      <c r="M75" s="7">
        <v>2510</v>
      </c>
    </row>
    <row r="76" spans="1:13">
      <c r="A76" s="8">
        <v>2032</v>
      </c>
      <c r="B76" t="s">
        <v>25</v>
      </c>
      <c r="C76" t="s">
        <v>26</v>
      </c>
      <c r="D76" t="s">
        <v>26</v>
      </c>
      <c r="E76" s="18">
        <v>0</v>
      </c>
      <c r="F76" s="19">
        <f t="shared" si="2"/>
        <v>0</v>
      </c>
      <c r="G76" s="19">
        <f t="shared" si="3"/>
        <v>2700</v>
      </c>
      <c r="H76" t="s">
        <v>15</v>
      </c>
      <c r="I76">
        <v>46322.797685185185</v>
      </c>
      <c r="J76" s="1" t="b">
        <v>1</v>
      </c>
      <c r="K76" s="1" t="b">
        <v>1</v>
      </c>
      <c r="L76" s="7">
        <v>0</v>
      </c>
      <c r="M76" s="7">
        <v>2510</v>
      </c>
    </row>
    <row r="77" spans="1:13">
      <c r="A77" s="8">
        <v>2032</v>
      </c>
      <c r="B77" t="s">
        <v>27</v>
      </c>
      <c r="C77" t="s">
        <v>28</v>
      </c>
      <c r="D77" t="s">
        <v>29</v>
      </c>
      <c r="E77" s="18">
        <v>0</v>
      </c>
      <c r="F77" s="19">
        <f t="shared" si="2"/>
        <v>0</v>
      </c>
      <c r="G77" s="19">
        <f t="shared" si="3"/>
        <v>2700</v>
      </c>
      <c r="H77" t="s">
        <v>15</v>
      </c>
      <c r="I77">
        <v>46322.797685185185</v>
      </c>
      <c r="J77" s="1" t="b">
        <v>1</v>
      </c>
      <c r="K77" s="1" t="b">
        <v>1</v>
      </c>
      <c r="L77" s="7">
        <v>0</v>
      </c>
      <c r="M77" s="7">
        <v>2510</v>
      </c>
    </row>
    <row r="78" spans="1:13">
      <c r="A78" s="8">
        <v>2033</v>
      </c>
      <c r="B78" t="s">
        <v>13</v>
      </c>
      <c r="C78" t="s">
        <v>14</v>
      </c>
      <c r="D78" t="s">
        <v>14</v>
      </c>
      <c r="E78" s="18">
        <v>0</v>
      </c>
      <c r="F78" s="19">
        <f t="shared" si="2"/>
        <v>0</v>
      </c>
      <c r="G78" s="19">
        <f t="shared" si="3"/>
        <v>2102</v>
      </c>
      <c r="H78" t="s">
        <v>15</v>
      </c>
      <c r="I78">
        <v>46322.797685185185</v>
      </c>
      <c r="J78" s="1" t="b">
        <v>1</v>
      </c>
      <c r="K78" s="1" t="b">
        <v>1</v>
      </c>
      <c r="L78" s="7">
        <v>0</v>
      </c>
      <c r="M78" s="7">
        <v>2012</v>
      </c>
    </row>
    <row r="79" spans="1:13">
      <c r="A79" s="8">
        <v>2033</v>
      </c>
      <c r="B79" t="s">
        <v>16</v>
      </c>
      <c r="C79" t="s">
        <v>17</v>
      </c>
      <c r="D79" t="s">
        <v>18</v>
      </c>
      <c r="E79" s="18">
        <v>689</v>
      </c>
      <c r="F79" s="19">
        <f t="shared" si="2"/>
        <v>1907</v>
      </c>
      <c r="G79" s="19">
        <f t="shared" si="3"/>
        <v>2102</v>
      </c>
      <c r="H79" t="s">
        <v>15</v>
      </c>
      <c r="I79">
        <v>46322.797685185185</v>
      </c>
      <c r="J79" s="1" t="b">
        <v>1</v>
      </c>
      <c r="K79" s="1" t="b">
        <v>1</v>
      </c>
      <c r="L79" s="7">
        <v>1907</v>
      </c>
      <c r="M79" s="7">
        <v>2012</v>
      </c>
    </row>
    <row r="80" spans="1:13">
      <c r="A80" s="8">
        <v>2033</v>
      </c>
      <c r="B80" t="s">
        <v>16</v>
      </c>
      <c r="C80" t="s">
        <v>17</v>
      </c>
      <c r="D80" t="s">
        <v>19</v>
      </c>
      <c r="E80" s="18">
        <v>1218</v>
      </c>
      <c r="F80" s="19">
        <f t="shared" si="2"/>
        <v>1907</v>
      </c>
      <c r="G80" s="19">
        <f t="shared" si="3"/>
        <v>2102</v>
      </c>
      <c r="H80" t="s">
        <v>15</v>
      </c>
      <c r="I80">
        <v>46322.797685185185</v>
      </c>
      <c r="J80" s="1" t="b">
        <v>1</v>
      </c>
      <c r="K80" s="1" t="b">
        <v>1</v>
      </c>
      <c r="L80" s="7">
        <v>1907</v>
      </c>
      <c r="M80" s="7">
        <v>2012</v>
      </c>
    </row>
    <row r="81" spans="1:13">
      <c r="A81" s="8">
        <v>2033</v>
      </c>
      <c r="B81" t="s">
        <v>20</v>
      </c>
      <c r="C81" t="s">
        <v>21</v>
      </c>
      <c r="D81" t="s">
        <v>22</v>
      </c>
      <c r="E81" s="18">
        <v>106</v>
      </c>
      <c r="F81" s="19">
        <f t="shared" si="2"/>
        <v>195</v>
      </c>
      <c r="G81" s="19">
        <f t="shared" si="3"/>
        <v>2102</v>
      </c>
      <c r="H81" t="s">
        <v>15</v>
      </c>
      <c r="I81">
        <v>46322.797685185185</v>
      </c>
      <c r="J81" s="1" t="b">
        <v>1</v>
      </c>
      <c r="K81" s="1" t="b">
        <v>1</v>
      </c>
      <c r="L81" s="7">
        <v>105</v>
      </c>
      <c r="M81" s="7">
        <v>2012</v>
      </c>
    </row>
    <row r="82" spans="1:13">
      <c r="A82" s="8">
        <v>2033</v>
      </c>
      <c r="B82" t="s">
        <v>20</v>
      </c>
      <c r="C82" t="s">
        <v>21</v>
      </c>
      <c r="D82" t="s">
        <v>23</v>
      </c>
      <c r="E82" s="18">
        <v>75</v>
      </c>
      <c r="F82" s="19">
        <f t="shared" si="2"/>
        <v>195</v>
      </c>
      <c r="G82" s="19">
        <f t="shared" si="3"/>
        <v>2102</v>
      </c>
      <c r="H82" t="s">
        <v>15</v>
      </c>
      <c r="I82">
        <v>46322.797685185185</v>
      </c>
      <c r="J82" s="1" t="b">
        <v>1</v>
      </c>
      <c r="K82" s="1" t="b">
        <v>1</v>
      </c>
      <c r="L82" s="7">
        <v>105</v>
      </c>
      <c r="M82" s="7">
        <v>2012</v>
      </c>
    </row>
    <row r="83" spans="1:13">
      <c r="A83" s="8">
        <v>2033</v>
      </c>
      <c r="B83" t="s">
        <v>20</v>
      </c>
      <c r="C83" t="s">
        <v>21</v>
      </c>
      <c r="D83" t="s">
        <v>24</v>
      </c>
      <c r="E83" s="18">
        <v>14</v>
      </c>
      <c r="F83" s="19">
        <f t="shared" si="2"/>
        <v>195</v>
      </c>
      <c r="G83" s="19">
        <f t="shared" si="3"/>
        <v>2102</v>
      </c>
      <c r="H83" t="s">
        <v>15</v>
      </c>
      <c r="I83">
        <v>46322.797685185185</v>
      </c>
      <c r="J83" s="1" t="b">
        <v>1</v>
      </c>
      <c r="K83" s="1" t="b">
        <v>1</v>
      </c>
      <c r="L83" s="7">
        <v>105</v>
      </c>
      <c r="M83" s="7">
        <v>2012</v>
      </c>
    </row>
    <row r="84" spans="1:13">
      <c r="A84" s="8">
        <v>2033</v>
      </c>
      <c r="B84" t="s">
        <v>25</v>
      </c>
      <c r="C84" t="s">
        <v>26</v>
      </c>
      <c r="D84" t="s">
        <v>26</v>
      </c>
      <c r="E84" s="18">
        <v>0</v>
      </c>
      <c r="F84" s="19">
        <f t="shared" si="2"/>
        <v>0</v>
      </c>
      <c r="G84" s="19">
        <f t="shared" si="3"/>
        <v>2102</v>
      </c>
      <c r="H84" t="s">
        <v>15</v>
      </c>
      <c r="I84">
        <v>46322.797685185185</v>
      </c>
      <c r="J84" s="1" t="b">
        <v>1</v>
      </c>
      <c r="K84" s="1" t="b">
        <v>1</v>
      </c>
      <c r="L84" s="7">
        <v>0</v>
      </c>
      <c r="M84" s="7">
        <v>2012</v>
      </c>
    </row>
    <row r="85" spans="1:13">
      <c r="A85" s="8">
        <v>2033</v>
      </c>
      <c r="B85" t="s">
        <v>27</v>
      </c>
      <c r="C85" t="s">
        <v>28</v>
      </c>
      <c r="D85" t="s">
        <v>29</v>
      </c>
      <c r="E85" s="18">
        <v>0</v>
      </c>
      <c r="F85" s="19">
        <f t="shared" si="2"/>
        <v>0</v>
      </c>
      <c r="G85" s="19">
        <f t="shared" si="3"/>
        <v>2102</v>
      </c>
      <c r="H85" t="s">
        <v>15</v>
      </c>
      <c r="I85">
        <v>46322.797685185185</v>
      </c>
      <c r="J85" s="1" t="b">
        <v>1</v>
      </c>
      <c r="K85" s="1" t="b">
        <v>1</v>
      </c>
      <c r="L85" s="7">
        <v>0</v>
      </c>
      <c r="M85" s="7">
        <v>2012</v>
      </c>
    </row>
    <row r="86" spans="1:13">
      <c r="A86" s="8">
        <v>2034</v>
      </c>
      <c r="B86" t="s">
        <v>13</v>
      </c>
      <c r="C86" t="s">
        <v>14</v>
      </c>
      <c r="D86" t="s">
        <v>14</v>
      </c>
      <c r="E86" s="18">
        <v>0</v>
      </c>
      <c r="F86" s="19">
        <f t="shared" si="2"/>
        <v>0</v>
      </c>
      <c r="G86" s="19">
        <f t="shared" si="3"/>
        <v>2154</v>
      </c>
      <c r="H86" t="s">
        <v>15</v>
      </c>
      <c r="I86">
        <v>46322.797685185185</v>
      </c>
      <c r="J86" s="1" t="b">
        <v>1</v>
      </c>
      <c r="K86" s="1" t="b">
        <v>1</v>
      </c>
      <c r="L86" s="7">
        <v>0</v>
      </c>
      <c r="M86" s="7">
        <v>1937</v>
      </c>
    </row>
    <row r="87" spans="1:13">
      <c r="A87" s="8">
        <v>2034</v>
      </c>
      <c r="B87" t="s">
        <v>16</v>
      </c>
      <c r="C87" t="s">
        <v>17</v>
      </c>
      <c r="D87" t="s">
        <v>18</v>
      </c>
      <c r="E87" s="18">
        <v>693</v>
      </c>
      <c r="F87" s="19">
        <f t="shared" si="2"/>
        <v>1907</v>
      </c>
      <c r="G87" s="19">
        <f t="shared" si="3"/>
        <v>2154</v>
      </c>
      <c r="H87" t="s">
        <v>15</v>
      </c>
      <c r="I87">
        <v>46322.797685185185</v>
      </c>
      <c r="J87" s="1" t="b">
        <v>1</v>
      </c>
      <c r="K87" s="1" t="b">
        <v>1</v>
      </c>
      <c r="L87" s="7">
        <v>1907</v>
      </c>
      <c r="M87" s="7">
        <v>1937</v>
      </c>
    </row>
    <row r="88" spans="1:13">
      <c r="A88" s="8">
        <v>2034</v>
      </c>
      <c r="B88" t="s">
        <v>16</v>
      </c>
      <c r="C88" t="s">
        <v>17</v>
      </c>
      <c r="D88" t="s">
        <v>19</v>
      </c>
      <c r="E88" s="18">
        <v>1214</v>
      </c>
      <c r="F88" s="19">
        <f t="shared" si="2"/>
        <v>1907</v>
      </c>
      <c r="G88" s="19">
        <f t="shared" si="3"/>
        <v>2154</v>
      </c>
      <c r="H88" t="s">
        <v>15</v>
      </c>
      <c r="I88">
        <v>46322.797685185185</v>
      </c>
      <c r="J88" s="1" t="b">
        <v>1</v>
      </c>
      <c r="K88" s="1" t="b">
        <v>1</v>
      </c>
      <c r="L88" s="7">
        <v>1907</v>
      </c>
      <c r="M88" s="7">
        <v>1937</v>
      </c>
    </row>
    <row r="89" spans="1:13">
      <c r="A89" s="8">
        <v>2034</v>
      </c>
      <c r="B89" t="s">
        <v>20</v>
      </c>
      <c r="C89" t="s">
        <v>21</v>
      </c>
      <c r="D89" t="s">
        <v>22</v>
      </c>
      <c r="E89" s="18">
        <v>229</v>
      </c>
      <c r="F89" s="19">
        <f t="shared" si="2"/>
        <v>247</v>
      </c>
      <c r="G89" s="19">
        <f t="shared" si="3"/>
        <v>2154</v>
      </c>
      <c r="H89" t="s">
        <v>15</v>
      </c>
      <c r="I89">
        <v>46322.797685185185</v>
      </c>
      <c r="J89" s="1" t="b">
        <v>1</v>
      </c>
      <c r="K89" s="1" t="b">
        <v>1</v>
      </c>
      <c r="L89" s="7">
        <v>30</v>
      </c>
      <c r="M89" s="7">
        <v>1937</v>
      </c>
    </row>
    <row r="90" spans="1:13">
      <c r="A90" s="8">
        <v>2034</v>
      </c>
      <c r="B90" t="s">
        <v>20</v>
      </c>
      <c r="C90" t="s">
        <v>21</v>
      </c>
      <c r="D90" t="s">
        <v>23</v>
      </c>
      <c r="E90" s="18">
        <v>0</v>
      </c>
      <c r="F90" s="19">
        <f t="shared" si="2"/>
        <v>247</v>
      </c>
      <c r="G90" s="19">
        <f t="shared" si="3"/>
        <v>2154</v>
      </c>
      <c r="H90" t="s">
        <v>15</v>
      </c>
      <c r="I90">
        <v>46322.797685185185</v>
      </c>
      <c r="J90" s="1" t="b">
        <v>1</v>
      </c>
      <c r="K90" s="1" t="b">
        <v>1</v>
      </c>
      <c r="L90" s="7">
        <v>30</v>
      </c>
      <c r="M90" s="7">
        <v>1937</v>
      </c>
    </row>
    <row r="91" spans="1:13">
      <c r="A91" s="8">
        <v>2034</v>
      </c>
      <c r="B91" t="s">
        <v>20</v>
      </c>
      <c r="C91" t="s">
        <v>21</v>
      </c>
      <c r="D91" t="s">
        <v>24</v>
      </c>
      <c r="E91" s="18">
        <v>18</v>
      </c>
      <c r="F91" s="19">
        <f t="shared" si="2"/>
        <v>247</v>
      </c>
      <c r="G91" s="19">
        <f t="shared" si="3"/>
        <v>2154</v>
      </c>
      <c r="H91" t="s">
        <v>15</v>
      </c>
      <c r="I91">
        <v>46322.797685185185</v>
      </c>
      <c r="J91" s="1" t="b">
        <v>1</v>
      </c>
      <c r="K91" s="1" t="b">
        <v>1</v>
      </c>
      <c r="L91" s="7">
        <v>30</v>
      </c>
      <c r="M91" s="7">
        <v>1937</v>
      </c>
    </row>
    <row r="92" spans="1:13">
      <c r="A92" s="8">
        <v>2034</v>
      </c>
      <c r="B92" t="s">
        <v>25</v>
      </c>
      <c r="C92" t="s">
        <v>26</v>
      </c>
      <c r="D92" t="s">
        <v>26</v>
      </c>
      <c r="E92" s="18">
        <v>0</v>
      </c>
      <c r="F92" s="19">
        <f t="shared" si="2"/>
        <v>0</v>
      </c>
      <c r="G92" s="19">
        <f t="shared" si="3"/>
        <v>2154</v>
      </c>
      <c r="H92" t="s">
        <v>15</v>
      </c>
      <c r="I92">
        <v>46322.797685185185</v>
      </c>
      <c r="J92" s="1" t="b">
        <v>1</v>
      </c>
      <c r="K92" s="1" t="b">
        <v>1</v>
      </c>
      <c r="L92" s="7">
        <v>0</v>
      </c>
      <c r="M92" s="7">
        <v>1937</v>
      </c>
    </row>
    <row r="93" spans="1:13">
      <c r="A93" s="8">
        <v>2034</v>
      </c>
      <c r="B93" t="s">
        <v>27</v>
      </c>
      <c r="C93" t="s">
        <v>28</v>
      </c>
      <c r="D93" t="s">
        <v>29</v>
      </c>
      <c r="E93" s="18">
        <v>0</v>
      </c>
      <c r="F93" s="19">
        <f t="shared" si="2"/>
        <v>0</v>
      </c>
      <c r="G93" s="19">
        <f t="shared" si="3"/>
        <v>2154</v>
      </c>
      <c r="H93" t="s">
        <v>15</v>
      </c>
      <c r="I93">
        <v>46322.797685185185</v>
      </c>
      <c r="J93" s="1" t="b">
        <v>1</v>
      </c>
      <c r="K93" s="1" t="b">
        <v>1</v>
      </c>
      <c r="L93" s="7">
        <v>0</v>
      </c>
      <c r="M93" s="7">
        <v>1937</v>
      </c>
    </row>
    <row r="94" spans="1:13">
      <c r="A94" s="8">
        <v>2035</v>
      </c>
      <c r="B94" t="s">
        <v>13</v>
      </c>
      <c r="C94" t="s">
        <v>14</v>
      </c>
      <c r="D94" t="s">
        <v>14</v>
      </c>
      <c r="E94" s="18">
        <v>0</v>
      </c>
      <c r="F94" s="19">
        <f t="shared" si="2"/>
        <v>0</v>
      </c>
      <c r="G94" s="19">
        <f t="shared" si="3"/>
        <v>2023</v>
      </c>
      <c r="H94" t="s">
        <v>15</v>
      </c>
      <c r="I94">
        <v>46322.797685185185</v>
      </c>
      <c r="J94" s="1" t="b">
        <v>1</v>
      </c>
      <c r="K94" s="1" t="b">
        <v>1</v>
      </c>
      <c r="L94" s="7">
        <v>0</v>
      </c>
      <c r="M94" s="7">
        <v>1934</v>
      </c>
    </row>
    <row r="95" spans="1:13">
      <c r="A95" s="8">
        <v>2035</v>
      </c>
      <c r="B95" t="s">
        <v>16</v>
      </c>
      <c r="C95" t="s">
        <v>17</v>
      </c>
      <c r="D95" t="s">
        <v>18</v>
      </c>
      <c r="E95" s="18">
        <v>698</v>
      </c>
      <c r="F95" s="19">
        <f t="shared" si="2"/>
        <v>1882</v>
      </c>
      <c r="G95" s="19">
        <f t="shared" si="3"/>
        <v>2023</v>
      </c>
      <c r="H95" t="s">
        <v>15</v>
      </c>
      <c r="I95">
        <v>46322.797685185185</v>
      </c>
      <c r="J95" s="1" t="b">
        <v>1</v>
      </c>
      <c r="K95" s="1" t="b">
        <v>1</v>
      </c>
      <c r="L95" s="7">
        <v>1882</v>
      </c>
      <c r="M95" s="7">
        <v>1934</v>
      </c>
    </row>
    <row r="96" spans="1:13">
      <c r="A96" s="8">
        <v>2035</v>
      </c>
      <c r="B96" t="s">
        <v>16</v>
      </c>
      <c r="C96" t="s">
        <v>17</v>
      </c>
      <c r="D96" t="s">
        <v>19</v>
      </c>
      <c r="E96" s="18">
        <v>1184</v>
      </c>
      <c r="F96" s="19">
        <f t="shared" si="2"/>
        <v>1882</v>
      </c>
      <c r="G96" s="19">
        <f t="shared" si="3"/>
        <v>2023</v>
      </c>
      <c r="H96" t="s">
        <v>15</v>
      </c>
      <c r="I96">
        <v>46322.797685185185</v>
      </c>
      <c r="J96" s="1" t="b">
        <v>1</v>
      </c>
      <c r="K96" s="1" t="b">
        <v>1</v>
      </c>
      <c r="L96" s="7">
        <v>1882</v>
      </c>
      <c r="M96" s="7">
        <v>1934</v>
      </c>
    </row>
    <row r="97" spans="1:13">
      <c r="A97" s="8">
        <v>2035</v>
      </c>
      <c r="B97" t="s">
        <v>20</v>
      </c>
      <c r="C97" t="s">
        <v>21</v>
      </c>
      <c r="D97" t="s">
        <v>22</v>
      </c>
      <c r="E97" s="18">
        <v>119</v>
      </c>
      <c r="F97" s="19">
        <f t="shared" si="2"/>
        <v>141</v>
      </c>
      <c r="G97" s="19">
        <f t="shared" si="3"/>
        <v>2023</v>
      </c>
      <c r="H97" t="s">
        <v>15</v>
      </c>
      <c r="I97">
        <v>46322.797685185185</v>
      </c>
      <c r="J97" s="1" t="b">
        <v>1</v>
      </c>
      <c r="K97" s="1" t="b">
        <v>1</v>
      </c>
      <c r="L97" s="7">
        <v>52</v>
      </c>
      <c r="M97" s="7">
        <v>1934</v>
      </c>
    </row>
    <row r="98" spans="1:13">
      <c r="A98" s="8">
        <v>2035</v>
      </c>
      <c r="B98" t="s">
        <v>20</v>
      </c>
      <c r="C98" t="s">
        <v>21</v>
      </c>
      <c r="D98" t="s">
        <v>23</v>
      </c>
      <c r="E98" s="18">
        <v>0</v>
      </c>
      <c r="F98" s="19">
        <f t="shared" si="2"/>
        <v>141</v>
      </c>
      <c r="G98" s="19">
        <f t="shared" si="3"/>
        <v>2023</v>
      </c>
      <c r="H98" t="s">
        <v>15</v>
      </c>
      <c r="I98">
        <v>46322.797685185185</v>
      </c>
      <c r="J98" s="1" t="b">
        <v>1</v>
      </c>
      <c r="K98" s="1" t="b">
        <v>1</v>
      </c>
      <c r="L98" s="7">
        <v>52</v>
      </c>
      <c r="M98" s="7">
        <v>1934</v>
      </c>
    </row>
    <row r="99" spans="1:13">
      <c r="A99" s="8">
        <v>2035</v>
      </c>
      <c r="B99" t="s">
        <v>20</v>
      </c>
      <c r="C99" t="s">
        <v>21</v>
      </c>
      <c r="D99" t="s">
        <v>24</v>
      </c>
      <c r="E99" s="18">
        <v>22</v>
      </c>
      <c r="F99" s="19">
        <f t="shared" si="2"/>
        <v>141</v>
      </c>
      <c r="G99" s="19">
        <f t="shared" si="3"/>
        <v>2023</v>
      </c>
      <c r="H99" t="s">
        <v>15</v>
      </c>
      <c r="I99">
        <v>46322.797685185185</v>
      </c>
      <c r="J99" s="1" t="b">
        <v>1</v>
      </c>
      <c r="K99" s="1" t="b">
        <v>1</v>
      </c>
      <c r="L99" s="7">
        <v>52</v>
      </c>
      <c r="M99" s="7">
        <v>1934</v>
      </c>
    </row>
    <row r="100" spans="1:13">
      <c r="A100" s="8">
        <v>2035</v>
      </c>
      <c r="B100" t="s">
        <v>25</v>
      </c>
      <c r="C100" t="s">
        <v>26</v>
      </c>
      <c r="D100" t="s">
        <v>26</v>
      </c>
      <c r="E100" s="18">
        <v>0</v>
      </c>
      <c r="F100" s="19">
        <f t="shared" si="2"/>
        <v>0</v>
      </c>
      <c r="G100" s="19">
        <f t="shared" si="3"/>
        <v>2023</v>
      </c>
      <c r="H100" t="s">
        <v>15</v>
      </c>
      <c r="I100">
        <v>46322.797685185185</v>
      </c>
      <c r="J100" s="1" t="b">
        <v>1</v>
      </c>
      <c r="K100" s="1" t="b">
        <v>1</v>
      </c>
      <c r="L100" s="7">
        <v>0</v>
      </c>
      <c r="M100" s="7">
        <v>1934</v>
      </c>
    </row>
    <row r="101" spans="1:13">
      <c r="A101" s="8">
        <v>2035</v>
      </c>
      <c r="B101" t="s">
        <v>27</v>
      </c>
      <c r="C101" t="s">
        <v>28</v>
      </c>
      <c r="D101" t="s">
        <v>29</v>
      </c>
      <c r="E101" s="18">
        <v>0</v>
      </c>
      <c r="F101" s="19">
        <f t="shared" si="2"/>
        <v>0</v>
      </c>
      <c r="G101" s="19">
        <f t="shared" si="3"/>
        <v>2023</v>
      </c>
      <c r="H101" t="s">
        <v>15</v>
      </c>
      <c r="I101">
        <v>46322.797685185185</v>
      </c>
      <c r="J101" s="1" t="b">
        <v>1</v>
      </c>
      <c r="K101" s="1" t="b">
        <v>1</v>
      </c>
      <c r="L101" s="7">
        <v>0</v>
      </c>
      <c r="M101" s="7">
        <v>1934</v>
      </c>
    </row>
    <row r="102" spans="1:13">
      <c r="A102" s="8">
        <v>2036</v>
      </c>
      <c r="B102" t="s">
        <v>13</v>
      </c>
      <c r="C102" t="s">
        <v>14</v>
      </c>
      <c r="D102" t="s">
        <v>14</v>
      </c>
      <c r="E102" s="18">
        <v>0</v>
      </c>
      <c r="F102" s="19">
        <f t="shared" si="2"/>
        <v>0</v>
      </c>
      <c r="G102" s="19">
        <f t="shared" si="3"/>
        <v>1872</v>
      </c>
      <c r="H102" t="s">
        <v>15</v>
      </c>
      <c r="I102">
        <v>46322.797685185185</v>
      </c>
      <c r="J102" s="1" t="b">
        <v>1</v>
      </c>
      <c r="K102" s="1" t="b">
        <v>1</v>
      </c>
      <c r="L102" s="7">
        <v>0</v>
      </c>
      <c r="M102" s="7">
        <v>1760</v>
      </c>
    </row>
    <row r="103" spans="1:13">
      <c r="A103" s="8">
        <v>2036</v>
      </c>
      <c r="B103" t="s">
        <v>16</v>
      </c>
      <c r="C103" t="s">
        <v>17</v>
      </c>
      <c r="D103" t="s">
        <v>18</v>
      </c>
      <c r="E103" s="18">
        <v>702</v>
      </c>
      <c r="F103" s="19">
        <f t="shared" si="2"/>
        <v>1729</v>
      </c>
      <c r="G103" s="19">
        <f t="shared" si="3"/>
        <v>1872</v>
      </c>
      <c r="H103" t="s">
        <v>15</v>
      </c>
      <c r="I103">
        <v>46322.797685185185</v>
      </c>
      <c r="J103" s="1" t="b">
        <v>1</v>
      </c>
      <c r="K103" s="1" t="b">
        <v>1</v>
      </c>
      <c r="L103" s="7">
        <v>1729</v>
      </c>
      <c r="M103" s="7">
        <v>1760</v>
      </c>
    </row>
    <row r="104" spans="1:13">
      <c r="A104" s="8">
        <v>2036</v>
      </c>
      <c r="B104" t="s">
        <v>16</v>
      </c>
      <c r="C104" t="s">
        <v>17</v>
      </c>
      <c r="D104" t="s">
        <v>19</v>
      </c>
      <c r="E104" s="18">
        <v>1027</v>
      </c>
      <c r="F104" s="19">
        <f t="shared" si="2"/>
        <v>1729</v>
      </c>
      <c r="G104" s="19">
        <f t="shared" si="3"/>
        <v>1872</v>
      </c>
      <c r="H104" t="s">
        <v>15</v>
      </c>
      <c r="I104">
        <v>46322.797685185185</v>
      </c>
      <c r="J104" s="1" t="b">
        <v>1</v>
      </c>
      <c r="K104" s="1" t="b">
        <v>1</v>
      </c>
      <c r="L104" s="7">
        <v>1729</v>
      </c>
      <c r="M104" s="7">
        <v>1760</v>
      </c>
    </row>
    <row r="105" spans="1:13">
      <c r="A105" s="8">
        <v>2036</v>
      </c>
      <c r="B105" t="s">
        <v>20</v>
      </c>
      <c r="C105" t="s">
        <v>21</v>
      </c>
      <c r="D105" t="s">
        <v>22</v>
      </c>
      <c r="E105" s="18">
        <v>126</v>
      </c>
      <c r="F105" s="19">
        <f t="shared" si="2"/>
        <v>143</v>
      </c>
      <c r="G105" s="19">
        <f t="shared" si="3"/>
        <v>1872</v>
      </c>
      <c r="H105" t="s">
        <v>15</v>
      </c>
      <c r="I105">
        <v>46322.797685185185</v>
      </c>
      <c r="J105" s="1" t="b">
        <v>1</v>
      </c>
      <c r="K105" s="1" t="b">
        <v>1</v>
      </c>
      <c r="L105" s="7">
        <v>31</v>
      </c>
      <c r="M105" s="7">
        <v>1760</v>
      </c>
    </row>
    <row r="106" spans="1:13">
      <c r="A106" s="8">
        <v>2036</v>
      </c>
      <c r="B106" t="s">
        <v>20</v>
      </c>
      <c r="C106" t="s">
        <v>21</v>
      </c>
      <c r="D106" t="s">
        <v>23</v>
      </c>
      <c r="E106" s="18">
        <v>0</v>
      </c>
      <c r="F106" s="19">
        <f t="shared" si="2"/>
        <v>143</v>
      </c>
      <c r="G106" s="19">
        <f t="shared" si="3"/>
        <v>1872</v>
      </c>
      <c r="H106" t="s">
        <v>15</v>
      </c>
      <c r="I106">
        <v>46322.797685185185</v>
      </c>
      <c r="J106" s="1" t="b">
        <v>1</v>
      </c>
      <c r="K106" s="1" t="b">
        <v>1</v>
      </c>
      <c r="L106" s="7">
        <v>31</v>
      </c>
      <c r="M106" s="7">
        <v>1760</v>
      </c>
    </row>
    <row r="107" spans="1:13">
      <c r="A107" s="8">
        <v>2036</v>
      </c>
      <c r="B107" t="s">
        <v>20</v>
      </c>
      <c r="C107" t="s">
        <v>21</v>
      </c>
      <c r="D107" t="s">
        <v>24</v>
      </c>
      <c r="E107" s="18">
        <v>17</v>
      </c>
      <c r="F107" s="19">
        <f t="shared" si="2"/>
        <v>143</v>
      </c>
      <c r="G107" s="19">
        <f t="shared" si="3"/>
        <v>1872</v>
      </c>
      <c r="H107" t="s">
        <v>15</v>
      </c>
      <c r="I107">
        <v>46322.797685185185</v>
      </c>
      <c r="J107" s="1" t="b">
        <v>1</v>
      </c>
      <c r="K107" s="1" t="b">
        <v>1</v>
      </c>
      <c r="L107" s="7">
        <v>31</v>
      </c>
      <c r="M107" s="7">
        <v>1760</v>
      </c>
    </row>
    <row r="108" spans="1:13">
      <c r="A108" s="8">
        <v>2036</v>
      </c>
      <c r="B108" t="s">
        <v>25</v>
      </c>
      <c r="C108" t="s">
        <v>26</v>
      </c>
      <c r="D108" t="s">
        <v>26</v>
      </c>
      <c r="E108" s="18">
        <v>0</v>
      </c>
      <c r="F108" s="19">
        <f t="shared" si="2"/>
        <v>0</v>
      </c>
      <c r="G108" s="19">
        <f t="shared" si="3"/>
        <v>1872</v>
      </c>
      <c r="H108" t="s">
        <v>15</v>
      </c>
      <c r="I108">
        <v>46322.797685185185</v>
      </c>
      <c r="J108" s="1" t="b">
        <v>1</v>
      </c>
      <c r="K108" s="1" t="b">
        <v>1</v>
      </c>
      <c r="L108" s="7">
        <v>0</v>
      </c>
      <c r="M108" s="7">
        <v>1760</v>
      </c>
    </row>
    <row r="109" spans="1:13">
      <c r="A109" s="8">
        <v>2036</v>
      </c>
      <c r="B109" t="s">
        <v>27</v>
      </c>
      <c r="C109" t="s">
        <v>28</v>
      </c>
      <c r="D109" t="s">
        <v>29</v>
      </c>
      <c r="E109" s="18">
        <v>0</v>
      </c>
      <c r="F109" s="19">
        <f t="shared" si="2"/>
        <v>0</v>
      </c>
      <c r="G109" s="19">
        <f t="shared" si="3"/>
        <v>1872</v>
      </c>
      <c r="H109" t="s">
        <v>15</v>
      </c>
      <c r="I109">
        <v>46322.797685185185</v>
      </c>
      <c r="J109" s="1" t="b">
        <v>1</v>
      </c>
      <c r="K109" s="1" t="b">
        <v>1</v>
      </c>
      <c r="L109" s="7">
        <v>0</v>
      </c>
      <c r="M109" s="7">
        <v>1760</v>
      </c>
    </row>
    <row r="110" spans="1:13">
      <c r="A110" s="8">
        <v>2037</v>
      </c>
      <c r="B110" t="s">
        <v>13</v>
      </c>
      <c r="C110" t="s">
        <v>14</v>
      </c>
      <c r="D110" t="s">
        <v>14</v>
      </c>
      <c r="E110" s="18">
        <v>0</v>
      </c>
      <c r="F110" s="19">
        <f t="shared" si="2"/>
        <v>0</v>
      </c>
      <c r="G110" s="19">
        <f t="shared" si="3"/>
        <v>1705</v>
      </c>
      <c r="H110" t="s">
        <v>15</v>
      </c>
      <c r="I110">
        <v>46322.797685185185</v>
      </c>
      <c r="J110" s="1" t="b">
        <v>1</v>
      </c>
      <c r="K110" s="1" t="b">
        <v>1</v>
      </c>
      <c r="L110" s="7">
        <v>0</v>
      </c>
      <c r="M110" s="7">
        <v>1575</v>
      </c>
    </row>
    <row r="111" spans="1:13">
      <c r="A111" s="8">
        <v>2037</v>
      </c>
      <c r="B111" t="s">
        <v>16</v>
      </c>
      <c r="C111" t="s">
        <v>17</v>
      </c>
      <c r="D111" t="s">
        <v>18</v>
      </c>
      <c r="E111" s="18">
        <v>706</v>
      </c>
      <c r="F111" s="19">
        <f t="shared" si="2"/>
        <v>1543</v>
      </c>
      <c r="G111" s="19">
        <f t="shared" si="3"/>
        <v>1705</v>
      </c>
      <c r="H111" t="s">
        <v>15</v>
      </c>
      <c r="I111">
        <v>46322.797685185185</v>
      </c>
      <c r="J111" s="1" t="b">
        <v>1</v>
      </c>
      <c r="K111" s="1" t="b">
        <v>1</v>
      </c>
      <c r="L111" s="7">
        <v>1543</v>
      </c>
      <c r="M111" s="7">
        <v>1575</v>
      </c>
    </row>
    <row r="112" spans="1:13">
      <c r="A112" s="8">
        <v>2037</v>
      </c>
      <c r="B112" t="s">
        <v>16</v>
      </c>
      <c r="C112" t="s">
        <v>17</v>
      </c>
      <c r="D112" t="s">
        <v>19</v>
      </c>
      <c r="E112" s="18">
        <v>837</v>
      </c>
      <c r="F112" s="19">
        <f t="shared" si="2"/>
        <v>1543</v>
      </c>
      <c r="G112" s="19">
        <f t="shared" si="3"/>
        <v>1705</v>
      </c>
      <c r="H112" t="s">
        <v>15</v>
      </c>
      <c r="I112">
        <v>46322.797685185185</v>
      </c>
      <c r="J112" s="1" t="b">
        <v>1</v>
      </c>
      <c r="K112" s="1" t="b">
        <v>1</v>
      </c>
      <c r="L112" s="7">
        <v>1543</v>
      </c>
      <c r="M112" s="7">
        <v>1575</v>
      </c>
    </row>
    <row r="113" spans="1:13">
      <c r="A113" s="8">
        <v>2037</v>
      </c>
      <c r="B113" t="s">
        <v>20</v>
      </c>
      <c r="C113" t="s">
        <v>21</v>
      </c>
      <c r="D113" t="s">
        <v>22</v>
      </c>
      <c r="E113" s="18">
        <v>141</v>
      </c>
      <c r="F113" s="19">
        <f t="shared" si="2"/>
        <v>162</v>
      </c>
      <c r="G113" s="19">
        <f t="shared" si="3"/>
        <v>1705</v>
      </c>
      <c r="H113" t="s">
        <v>15</v>
      </c>
      <c r="I113">
        <v>46322.797685185185</v>
      </c>
      <c r="J113" s="1" t="b">
        <v>1</v>
      </c>
      <c r="K113" s="1" t="b">
        <v>1</v>
      </c>
      <c r="L113" s="7">
        <v>32</v>
      </c>
      <c r="M113" s="7">
        <v>1575</v>
      </c>
    </row>
    <row r="114" spans="1:13">
      <c r="A114" s="8">
        <v>2037</v>
      </c>
      <c r="B114" t="s">
        <v>20</v>
      </c>
      <c r="C114" t="s">
        <v>21</v>
      </c>
      <c r="D114" t="s">
        <v>23</v>
      </c>
      <c r="E114" s="18">
        <v>0</v>
      </c>
      <c r="F114" s="19">
        <f t="shared" si="2"/>
        <v>162</v>
      </c>
      <c r="G114" s="19">
        <f t="shared" si="3"/>
        <v>1705</v>
      </c>
      <c r="H114" t="s">
        <v>15</v>
      </c>
      <c r="I114">
        <v>46322.797685185185</v>
      </c>
      <c r="J114" s="1" t="b">
        <v>1</v>
      </c>
      <c r="K114" s="1" t="b">
        <v>1</v>
      </c>
      <c r="L114" s="7">
        <v>32</v>
      </c>
      <c r="M114" s="7">
        <v>1575</v>
      </c>
    </row>
    <row r="115" spans="1:13">
      <c r="A115" s="8">
        <v>2037</v>
      </c>
      <c r="B115" t="s">
        <v>20</v>
      </c>
      <c r="C115" t="s">
        <v>21</v>
      </c>
      <c r="D115" t="s">
        <v>24</v>
      </c>
      <c r="E115" s="18">
        <v>21</v>
      </c>
      <c r="F115" s="19">
        <f t="shared" si="2"/>
        <v>162</v>
      </c>
      <c r="G115" s="19">
        <f t="shared" si="3"/>
        <v>1705</v>
      </c>
      <c r="H115" t="s">
        <v>15</v>
      </c>
      <c r="I115">
        <v>46322.797685185185</v>
      </c>
      <c r="J115" s="1" t="b">
        <v>1</v>
      </c>
      <c r="K115" s="1" t="b">
        <v>1</v>
      </c>
      <c r="L115" s="7">
        <v>32</v>
      </c>
      <c r="M115" s="7">
        <v>1575</v>
      </c>
    </row>
    <row r="116" spans="1:13">
      <c r="A116" s="8">
        <v>2037</v>
      </c>
      <c r="B116" t="s">
        <v>25</v>
      </c>
      <c r="C116" t="s">
        <v>26</v>
      </c>
      <c r="D116" t="s">
        <v>26</v>
      </c>
      <c r="E116" s="18">
        <v>0</v>
      </c>
      <c r="F116" s="19">
        <f t="shared" si="2"/>
        <v>0</v>
      </c>
      <c r="G116" s="19">
        <f t="shared" si="3"/>
        <v>1705</v>
      </c>
      <c r="H116" t="s">
        <v>15</v>
      </c>
      <c r="I116">
        <v>46322.797685185185</v>
      </c>
      <c r="J116" s="1" t="b">
        <v>1</v>
      </c>
      <c r="K116" s="1" t="b">
        <v>1</v>
      </c>
      <c r="L116" s="7">
        <v>0</v>
      </c>
      <c r="M116" s="7">
        <v>1575</v>
      </c>
    </row>
    <row r="117" spans="1:13">
      <c r="A117" s="8">
        <v>2037</v>
      </c>
      <c r="B117" t="s">
        <v>27</v>
      </c>
      <c r="C117" t="s">
        <v>28</v>
      </c>
      <c r="D117" t="s">
        <v>29</v>
      </c>
      <c r="E117" s="18">
        <v>0</v>
      </c>
      <c r="F117" s="19">
        <f t="shared" si="2"/>
        <v>0</v>
      </c>
      <c r="G117" s="19">
        <f t="shared" si="3"/>
        <v>1705</v>
      </c>
      <c r="H117" t="s">
        <v>15</v>
      </c>
      <c r="I117">
        <v>46322.797685185185</v>
      </c>
      <c r="J117" s="1" t="b">
        <v>1</v>
      </c>
      <c r="K117" s="1" t="b">
        <v>1</v>
      </c>
      <c r="L117" s="7">
        <v>0</v>
      </c>
      <c r="M117" s="7">
        <v>1575</v>
      </c>
    </row>
    <row r="118" spans="1:13">
      <c r="A118" s="8">
        <v>2038</v>
      </c>
      <c r="B118" t="s">
        <v>13</v>
      </c>
      <c r="C118" t="s">
        <v>14</v>
      </c>
      <c r="D118" t="s">
        <v>14</v>
      </c>
      <c r="E118" s="18">
        <v>0</v>
      </c>
      <c r="F118" s="19">
        <f t="shared" si="2"/>
        <v>0</v>
      </c>
      <c r="G118" s="19">
        <f t="shared" si="3"/>
        <v>1625</v>
      </c>
      <c r="H118" t="s">
        <v>15</v>
      </c>
      <c r="I118">
        <v>46322.797685185185</v>
      </c>
      <c r="J118" s="1" t="b">
        <v>1</v>
      </c>
      <c r="K118" s="1" t="b">
        <v>1</v>
      </c>
      <c r="L118" s="7">
        <v>0</v>
      </c>
      <c r="M118" s="7">
        <v>1520</v>
      </c>
    </row>
    <row r="119" spans="1:13">
      <c r="A119" s="8">
        <v>2038</v>
      </c>
      <c r="B119" t="s">
        <v>16</v>
      </c>
      <c r="C119" t="s">
        <v>17</v>
      </c>
      <c r="D119" t="s">
        <v>18</v>
      </c>
      <c r="E119" s="18">
        <v>711</v>
      </c>
      <c r="F119" s="19">
        <f t="shared" si="2"/>
        <v>1491</v>
      </c>
      <c r="G119" s="19">
        <f t="shared" si="3"/>
        <v>1625</v>
      </c>
      <c r="H119" t="s">
        <v>15</v>
      </c>
      <c r="I119">
        <v>46322.797685185185</v>
      </c>
      <c r="J119" s="1" t="b">
        <v>1</v>
      </c>
      <c r="K119" s="1" t="b">
        <v>1</v>
      </c>
      <c r="L119" s="7">
        <v>1491</v>
      </c>
      <c r="M119" s="7">
        <v>1520</v>
      </c>
    </row>
    <row r="120" spans="1:13">
      <c r="A120" s="8">
        <v>2038</v>
      </c>
      <c r="B120" t="s">
        <v>16</v>
      </c>
      <c r="C120" t="s">
        <v>17</v>
      </c>
      <c r="D120" t="s">
        <v>19</v>
      </c>
      <c r="E120" s="18">
        <v>780</v>
      </c>
      <c r="F120" s="19">
        <f t="shared" si="2"/>
        <v>1491</v>
      </c>
      <c r="G120" s="19">
        <f t="shared" si="3"/>
        <v>1625</v>
      </c>
      <c r="H120" t="s">
        <v>15</v>
      </c>
      <c r="I120">
        <v>46322.797685185185</v>
      </c>
      <c r="J120" s="1" t="b">
        <v>1</v>
      </c>
      <c r="K120" s="1" t="b">
        <v>1</v>
      </c>
      <c r="L120" s="7">
        <v>1491</v>
      </c>
      <c r="M120" s="7">
        <v>1520</v>
      </c>
    </row>
    <row r="121" spans="1:13">
      <c r="A121" s="8">
        <v>2038</v>
      </c>
      <c r="B121" t="s">
        <v>20</v>
      </c>
      <c r="C121" t="s">
        <v>21</v>
      </c>
      <c r="D121" t="s">
        <v>22</v>
      </c>
      <c r="E121" s="18">
        <v>116</v>
      </c>
      <c r="F121" s="19">
        <f t="shared" si="2"/>
        <v>134</v>
      </c>
      <c r="G121" s="19">
        <f t="shared" si="3"/>
        <v>1625</v>
      </c>
      <c r="H121" t="s">
        <v>15</v>
      </c>
      <c r="I121">
        <v>46322.797685185185</v>
      </c>
      <c r="J121" s="1" t="b">
        <v>1</v>
      </c>
      <c r="K121" s="1" t="b">
        <v>1</v>
      </c>
      <c r="L121" s="7">
        <v>29</v>
      </c>
      <c r="M121" s="7">
        <v>1520</v>
      </c>
    </row>
    <row r="122" spans="1:13">
      <c r="A122" s="8">
        <v>2038</v>
      </c>
      <c r="B122" t="s">
        <v>20</v>
      </c>
      <c r="C122" t="s">
        <v>21</v>
      </c>
      <c r="D122" t="s">
        <v>23</v>
      </c>
      <c r="E122" s="18">
        <v>0</v>
      </c>
      <c r="F122" s="19">
        <f t="shared" si="2"/>
        <v>134</v>
      </c>
      <c r="G122" s="19">
        <f t="shared" si="3"/>
        <v>1625</v>
      </c>
      <c r="H122" t="s">
        <v>15</v>
      </c>
      <c r="I122">
        <v>46322.797685185185</v>
      </c>
      <c r="J122" s="1" t="b">
        <v>1</v>
      </c>
      <c r="K122" s="1" t="b">
        <v>1</v>
      </c>
      <c r="L122" s="7">
        <v>29</v>
      </c>
      <c r="M122" s="7">
        <v>1520</v>
      </c>
    </row>
    <row r="123" spans="1:13">
      <c r="A123" s="8">
        <v>2038</v>
      </c>
      <c r="B123" t="s">
        <v>20</v>
      </c>
      <c r="C123" t="s">
        <v>21</v>
      </c>
      <c r="D123" t="s">
        <v>24</v>
      </c>
      <c r="E123" s="18">
        <v>18</v>
      </c>
      <c r="F123" s="19">
        <f t="shared" si="2"/>
        <v>134</v>
      </c>
      <c r="G123" s="19">
        <f t="shared" si="3"/>
        <v>1625</v>
      </c>
      <c r="H123" t="s">
        <v>15</v>
      </c>
      <c r="I123">
        <v>46322.797685185185</v>
      </c>
      <c r="J123" s="1" t="b">
        <v>1</v>
      </c>
      <c r="K123" s="1" t="b">
        <v>1</v>
      </c>
      <c r="L123" s="7">
        <v>29</v>
      </c>
      <c r="M123" s="7">
        <v>1520</v>
      </c>
    </row>
    <row r="124" spans="1:13">
      <c r="A124" s="8">
        <v>2038</v>
      </c>
      <c r="B124" t="s">
        <v>25</v>
      </c>
      <c r="C124" t="s">
        <v>26</v>
      </c>
      <c r="D124" t="s">
        <v>26</v>
      </c>
      <c r="E124" s="18">
        <v>0</v>
      </c>
      <c r="F124" s="19">
        <f t="shared" si="2"/>
        <v>0</v>
      </c>
      <c r="G124" s="19">
        <f t="shared" si="3"/>
        <v>1625</v>
      </c>
      <c r="H124" t="s">
        <v>15</v>
      </c>
      <c r="I124">
        <v>46322.797685185185</v>
      </c>
      <c r="J124" s="1" t="b">
        <v>1</v>
      </c>
      <c r="K124" s="1" t="b">
        <v>1</v>
      </c>
      <c r="L124" s="7">
        <v>0</v>
      </c>
      <c r="M124" s="7">
        <v>1520</v>
      </c>
    </row>
    <row r="125" spans="1:13">
      <c r="A125" s="8">
        <v>2038</v>
      </c>
      <c r="B125" t="s">
        <v>27</v>
      </c>
      <c r="C125" t="s">
        <v>28</v>
      </c>
      <c r="D125" t="s">
        <v>29</v>
      </c>
      <c r="E125" s="18">
        <v>0</v>
      </c>
      <c r="F125" s="19">
        <f t="shared" si="2"/>
        <v>0</v>
      </c>
      <c r="G125" s="19">
        <f t="shared" si="3"/>
        <v>1625</v>
      </c>
      <c r="H125" t="s">
        <v>15</v>
      </c>
      <c r="I125">
        <v>46322.797685185185</v>
      </c>
      <c r="J125" s="1" t="b">
        <v>1</v>
      </c>
      <c r="K125" s="1" t="b">
        <v>1</v>
      </c>
      <c r="L125" s="7">
        <v>0</v>
      </c>
      <c r="M125" s="7">
        <v>1520</v>
      </c>
    </row>
    <row r="126" spans="1:13">
      <c r="A126" s="8">
        <v>2039</v>
      </c>
      <c r="B126" t="s">
        <v>13</v>
      </c>
      <c r="C126" t="s">
        <v>14</v>
      </c>
      <c r="D126" t="s">
        <v>14</v>
      </c>
      <c r="E126" s="18">
        <v>0</v>
      </c>
      <c r="F126" s="19">
        <f t="shared" si="2"/>
        <v>0</v>
      </c>
      <c r="G126" s="19">
        <f t="shared" si="3"/>
        <v>1748</v>
      </c>
      <c r="H126" t="s">
        <v>15</v>
      </c>
      <c r="I126">
        <v>46322.797685185185</v>
      </c>
      <c r="J126" s="1" t="b">
        <v>1</v>
      </c>
      <c r="K126" s="1" t="b">
        <v>1</v>
      </c>
      <c r="L126" s="7">
        <v>0</v>
      </c>
      <c r="M126" s="7">
        <v>1634</v>
      </c>
    </row>
    <row r="127" spans="1:13">
      <c r="A127" s="8">
        <v>2039</v>
      </c>
      <c r="B127" t="s">
        <v>16</v>
      </c>
      <c r="C127" t="s">
        <v>17</v>
      </c>
      <c r="D127" t="s">
        <v>18</v>
      </c>
      <c r="E127" s="18">
        <v>716</v>
      </c>
      <c r="F127" s="19">
        <f t="shared" si="2"/>
        <v>1603</v>
      </c>
      <c r="G127" s="19">
        <f t="shared" si="3"/>
        <v>1748</v>
      </c>
      <c r="H127" t="s">
        <v>15</v>
      </c>
      <c r="I127">
        <v>46322.797685185185</v>
      </c>
      <c r="J127" s="1" t="b">
        <v>1</v>
      </c>
      <c r="K127" s="1" t="b">
        <v>1</v>
      </c>
      <c r="L127" s="7">
        <v>1603</v>
      </c>
      <c r="M127" s="7">
        <v>1634</v>
      </c>
    </row>
    <row r="128" spans="1:13">
      <c r="A128" s="8">
        <v>2039</v>
      </c>
      <c r="B128" t="s">
        <v>16</v>
      </c>
      <c r="C128" t="s">
        <v>17</v>
      </c>
      <c r="D128" t="s">
        <v>19</v>
      </c>
      <c r="E128" s="18">
        <v>887</v>
      </c>
      <c r="F128" s="19">
        <f t="shared" si="2"/>
        <v>1603</v>
      </c>
      <c r="G128" s="19">
        <f t="shared" si="3"/>
        <v>1748</v>
      </c>
      <c r="H128" t="s">
        <v>15</v>
      </c>
      <c r="I128">
        <v>46322.797685185185</v>
      </c>
      <c r="J128" s="1" t="b">
        <v>1</v>
      </c>
      <c r="K128" s="1" t="b">
        <v>1</v>
      </c>
      <c r="L128" s="7">
        <v>1603</v>
      </c>
      <c r="M128" s="7">
        <v>1634</v>
      </c>
    </row>
    <row r="129" spans="1:13">
      <c r="A129" s="8">
        <v>2039</v>
      </c>
      <c r="B129" t="s">
        <v>20</v>
      </c>
      <c r="C129" t="s">
        <v>21</v>
      </c>
      <c r="D129" t="s">
        <v>22</v>
      </c>
      <c r="E129" s="18">
        <v>127</v>
      </c>
      <c r="F129" s="19">
        <f t="shared" si="2"/>
        <v>145</v>
      </c>
      <c r="G129" s="19">
        <f t="shared" si="3"/>
        <v>1748</v>
      </c>
      <c r="H129" t="s">
        <v>15</v>
      </c>
      <c r="I129">
        <v>46322.797685185185</v>
      </c>
      <c r="J129" s="1" t="b">
        <v>1</v>
      </c>
      <c r="K129" s="1" t="b">
        <v>1</v>
      </c>
      <c r="L129" s="7">
        <v>31</v>
      </c>
      <c r="M129" s="7">
        <v>1634</v>
      </c>
    </row>
    <row r="130" spans="1:13">
      <c r="A130" s="8">
        <v>2039</v>
      </c>
      <c r="B130" t="s">
        <v>20</v>
      </c>
      <c r="C130" t="s">
        <v>21</v>
      </c>
      <c r="D130" t="s">
        <v>23</v>
      </c>
      <c r="E130" s="18">
        <v>0</v>
      </c>
      <c r="F130" s="19">
        <f t="shared" ref="F130:F193" si="4">SUMIFS($E$2:$E$269,$A$2:$A$269,$A130,$B$2:$B$269,$B130)</f>
        <v>145</v>
      </c>
      <c r="G130" s="19">
        <f t="shared" ref="G130:G193" si="5">SUMIF($A$2:$A$269,$A130,$E$2:$E$269)</f>
        <v>1748</v>
      </c>
      <c r="H130" t="s">
        <v>15</v>
      </c>
      <c r="I130">
        <v>46322.797685185185</v>
      </c>
      <c r="J130" s="1" t="b">
        <v>1</v>
      </c>
      <c r="K130" s="1" t="b">
        <v>1</v>
      </c>
      <c r="L130" s="7">
        <v>31</v>
      </c>
      <c r="M130" s="7">
        <v>1634</v>
      </c>
    </row>
    <row r="131" spans="1:13">
      <c r="A131" s="8">
        <v>2039</v>
      </c>
      <c r="B131" t="s">
        <v>20</v>
      </c>
      <c r="C131" t="s">
        <v>21</v>
      </c>
      <c r="D131" t="s">
        <v>24</v>
      </c>
      <c r="E131" s="18">
        <v>18</v>
      </c>
      <c r="F131" s="19">
        <f t="shared" si="4"/>
        <v>145</v>
      </c>
      <c r="G131" s="19">
        <f t="shared" si="5"/>
        <v>1748</v>
      </c>
      <c r="H131" t="s">
        <v>15</v>
      </c>
      <c r="I131">
        <v>46322.797685185185</v>
      </c>
      <c r="J131" s="1" t="b">
        <v>1</v>
      </c>
      <c r="K131" s="1" t="b">
        <v>1</v>
      </c>
      <c r="L131" s="7">
        <v>31</v>
      </c>
      <c r="M131" s="7">
        <v>1634</v>
      </c>
    </row>
    <row r="132" spans="1:13">
      <c r="A132" s="8">
        <v>2039</v>
      </c>
      <c r="B132" t="s">
        <v>25</v>
      </c>
      <c r="C132" t="s">
        <v>26</v>
      </c>
      <c r="D132" t="s">
        <v>26</v>
      </c>
      <c r="E132" s="18">
        <v>0</v>
      </c>
      <c r="F132" s="19">
        <f t="shared" si="4"/>
        <v>0</v>
      </c>
      <c r="G132" s="19">
        <f t="shared" si="5"/>
        <v>1748</v>
      </c>
      <c r="H132" t="s">
        <v>15</v>
      </c>
      <c r="I132">
        <v>46322.797685185185</v>
      </c>
      <c r="J132" s="1" t="b">
        <v>1</v>
      </c>
      <c r="K132" s="1" t="b">
        <v>1</v>
      </c>
      <c r="L132" s="7">
        <v>0</v>
      </c>
      <c r="M132" s="7">
        <v>1634</v>
      </c>
    </row>
    <row r="133" spans="1:13">
      <c r="A133" s="8">
        <v>2039</v>
      </c>
      <c r="B133" t="s">
        <v>27</v>
      </c>
      <c r="C133" t="s">
        <v>28</v>
      </c>
      <c r="D133" t="s">
        <v>29</v>
      </c>
      <c r="E133" s="18">
        <v>0</v>
      </c>
      <c r="F133" s="19">
        <f t="shared" si="4"/>
        <v>0</v>
      </c>
      <c r="G133" s="19">
        <f t="shared" si="5"/>
        <v>1748</v>
      </c>
      <c r="H133" t="s">
        <v>15</v>
      </c>
      <c r="I133">
        <v>46322.797685185185</v>
      </c>
      <c r="J133" s="1" t="b">
        <v>1</v>
      </c>
      <c r="K133" s="1" t="b">
        <v>1</v>
      </c>
      <c r="L133" s="7">
        <v>0</v>
      </c>
      <c r="M133" s="7">
        <v>1634</v>
      </c>
    </row>
    <row r="134" spans="1:13">
      <c r="A134" s="8">
        <v>2040</v>
      </c>
      <c r="B134" t="s">
        <v>13</v>
      </c>
      <c r="C134" t="s">
        <v>14</v>
      </c>
      <c r="D134" t="s">
        <v>14</v>
      </c>
      <c r="E134" s="18">
        <v>0</v>
      </c>
      <c r="F134" s="19">
        <f t="shared" si="4"/>
        <v>0</v>
      </c>
      <c r="G134" s="19">
        <f t="shared" si="5"/>
        <v>1913</v>
      </c>
      <c r="H134" t="s">
        <v>15</v>
      </c>
      <c r="I134">
        <v>46322.797685185185</v>
      </c>
      <c r="J134" s="1" t="b">
        <v>1</v>
      </c>
      <c r="K134" s="1" t="b">
        <v>1</v>
      </c>
      <c r="L134" s="7">
        <v>0</v>
      </c>
      <c r="M134" s="7">
        <v>1798</v>
      </c>
    </row>
    <row r="135" spans="1:13">
      <c r="A135" s="8">
        <v>2040</v>
      </c>
      <c r="B135" t="s">
        <v>16</v>
      </c>
      <c r="C135" t="s">
        <v>17</v>
      </c>
      <c r="D135" t="s">
        <v>18</v>
      </c>
      <c r="E135" s="18">
        <v>720</v>
      </c>
      <c r="F135" s="19">
        <f t="shared" si="4"/>
        <v>1773</v>
      </c>
      <c r="G135" s="19">
        <f t="shared" si="5"/>
        <v>1913</v>
      </c>
      <c r="H135" t="s">
        <v>15</v>
      </c>
      <c r="I135">
        <v>46322.797685185185</v>
      </c>
      <c r="J135" s="1" t="b">
        <v>1</v>
      </c>
      <c r="K135" s="1" t="b">
        <v>1</v>
      </c>
      <c r="L135" s="7">
        <v>1773</v>
      </c>
      <c r="M135" s="7">
        <v>1798</v>
      </c>
    </row>
    <row r="136" spans="1:13">
      <c r="A136" s="8">
        <v>2040</v>
      </c>
      <c r="B136" t="s">
        <v>16</v>
      </c>
      <c r="C136" t="s">
        <v>17</v>
      </c>
      <c r="D136" t="s">
        <v>19</v>
      </c>
      <c r="E136" s="18">
        <v>1053</v>
      </c>
      <c r="F136" s="19">
        <f t="shared" si="4"/>
        <v>1773</v>
      </c>
      <c r="G136" s="19">
        <f t="shared" si="5"/>
        <v>1913</v>
      </c>
      <c r="H136" t="s">
        <v>15</v>
      </c>
      <c r="I136">
        <v>46322.797685185185</v>
      </c>
      <c r="J136" s="1" t="b">
        <v>1</v>
      </c>
      <c r="K136" s="1" t="b">
        <v>1</v>
      </c>
      <c r="L136" s="7">
        <v>1773</v>
      </c>
      <c r="M136" s="7">
        <v>1798</v>
      </c>
    </row>
    <row r="137" spans="1:13">
      <c r="A137" s="8">
        <v>2040</v>
      </c>
      <c r="B137" t="s">
        <v>20</v>
      </c>
      <c r="C137" t="s">
        <v>21</v>
      </c>
      <c r="D137" t="s">
        <v>22</v>
      </c>
      <c r="E137" s="18">
        <v>126</v>
      </c>
      <c r="F137" s="19">
        <f t="shared" si="4"/>
        <v>140</v>
      </c>
      <c r="G137" s="19">
        <f t="shared" si="5"/>
        <v>1913</v>
      </c>
      <c r="H137" t="s">
        <v>15</v>
      </c>
      <c r="I137">
        <v>46322.797685185185</v>
      </c>
      <c r="J137" s="1" t="b">
        <v>1</v>
      </c>
      <c r="K137" s="1" t="b">
        <v>1</v>
      </c>
      <c r="L137" s="7">
        <v>25</v>
      </c>
      <c r="M137" s="7">
        <v>1798</v>
      </c>
    </row>
    <row r="138" spans="1:13">
      <c r="A138" s="8">
        <v>2040</v>
      </c>
      <c r="B138" t="s">
        <v>20</v>
      </c>
      <c r="C138" t="s">
        <v>21</v>
      </c>
      <c r="D138" t="s">
        <v>23</v>
      </c>
      <c r="E138" s="18">
        <v>0</v>
      </c>
      <c r="F138" s="19">
        <f t="shared" si="4"/>
        <v>140</v>
      </c>
      <c r="G138" s="19">
        <f t="shared" si="5"/>
        <v>1913</v>
      </c>
      <c r="H138" t="s">
        <v>15</v>
      </c>
      <c r="I138">
        <v>46322.797685185185</v>
      </c>
      <c r="J138" s="1" t="b">
        <v>1</v>
      </c>
      <c r="K138" s="1" t="b">
        <v>1</v>
      </c>
      <c r="L138" s="7">
        <v>25</v>
      </c>
      <c r="M138" s="7">
        <v>1798</v>
      </c>
    </row>
    <row r="139" spans="1:13">
      <c r="A139" s="8">
        <v>2040</v>
      </c>
      <c r="B139" t="s">
        <v>20</v>
      </c>
      <c r="C139" t="s">
        <v>21</v>
      </c>
      <c r="D139" t="s">
        <v>24</v>
      </c>
      <c r="E139" s="18">
        <v>14</v>
      </c>
      <c r="F139" s="19">
        <f t="shared" si="4"/>
        <v>140</v>
      </c>
      <c r="G139" s="19">
        <f t="shared" si="5"/>
        <v>1913</v>
      </c>
      <c r="H139" t="s">
        <v>15</v>
      </c>
      <c r="I139">
        <v>46322.797685185185</v>
      </c>
      <c r="J139" s="1" t="b">
        <v>1</v>
      </c>
      <c r="K139" s="1" t="b">
        <v>1</v>
      </c>
      <c r="L139" s="7">
        <v>25</v>
      </c>
      <c r="M139" s="7">
        <v>1798</v>
      </c>
    </row>
    <row r="140" spans="1:13">
      <c r="A140" s="8">
        <v>2040</v>
      </c>
      <c r="B140" t="s">
        <v>25</v>
      </c>
      <c r="C140" t="s">
        <v>26</v>
      </c>
      <c r="D140" t="s">
        <v>26</v>
      </c>
      <c r="E140" s="18">
        <v>0</v>
      </c>
      <c r="F140" s="19">
        <f t="shared" si="4"/>
        <v>0</v>
      </c>
      <c r="G140" s="19">
        <f t="shared" si="5"/>
        <v>1913</v>
      </c>
      <c r="H140" t="s">
        <v>15</v>
      </c>
      <c r="I140">
        <v>46322.797685185185</v>
      </c>
      <c r="J140" s="1" t="b">
        <v>1</v>
      </c>
      <c r="K140" s="1" t="b">
        <v>1</v>
      </c>
      <c r="L140" s="7">
        <v>0</v>
      </c>
      <c r="M140" s="7">
        <v>1798</v>
      </c>
    </row>
    <row r="141" spans="1:13">
      <c r="A141" s="8">
        <v>2040</v>
      </c>
      <c r="B141" t="s">
        <v>27</v>
      </c>
      <c r="C141" t="s">
        <v>28</v>
      </c>
      <c r="D141" t="s">
        <v>29</v>
      </c>
      <c r="E141" s="18">
        <v>0</v>
      </c>
      <c r="F141" s="19">
        <f t="shared" si="4"/>
        <v>0</v>
      </c>
      <c r="G141" s="19">
        <f t="shared" si="5"/>
        <v>1913</v>
      </c>
      <c r="H141" t="s">
        <v>15</v>
      </c>
      <c r="I141">
        <v>46322.797685185185</v>
      </c>
      <c r="J141" s="1" t="b">
        <v>1</v>
      </c>
      <c r="K141" s="1" t="b">
        <v>1</v>
      </c>
      <c r="L141" s="7">
        <v>0</v>
      </c>
      <c r="M141" s="7">
        <v>1798</v>
      </c>
    </row>
    <row r="142" spans="1:13">
      <c r="A142" s="8">
        <v>2041</v>
      </c>
      <c r="B142" t="s">
        <v>13</v>
      </c>
      <c r="C142" t="s">
        <v>14</v>
      </c>
      <c r="D142" t="s">
        <v>14</v>
      </c>
      <c r="E142" s="18">
        <v>0</v>
      </c>
      <c r="F142" s="19">
        <f t="shared" si="4"/>
        <v>0</v>
      </c>
      <c r="G142" s="19">
        <f t="shared" si="5"/>
        <v>1845</v>
      </c>
      <c r="H142" t="s">
        <v>15</v>
      </c>
      <c r="I142">
        <v>46322.797685185185</v>
      </c>
      <c r="J142" s="1" t="b">
        <v>1</v>
      </c>
      <c r="K142" s="1" t="b">
        <v>1</v>
      </c>
      <c r="L142" s="7">
        <v>0</v>
      </c>
      <c r="M142" s="7">
        <v>1684</v>
      </c>
    </row>
    <row r="143" spans="1:13">
      <c r="A143" s="8">
        <v>2041</v>
      </c>
      <c r="B143" t="s">
        <v>16</v>
      </c>
      <c r="C143" t="s">
        <v>17</v>
      </c>
      <c r="D143" t="s">
        <v>18</v>
      </c>
      <c r="E143" s="18">
        <v>725</v>
      </c>
      <c r="F143" s="19">
        <f t="shared" si="4"/>
        <v>1657</v>
      </c>
      <c r="G143" s="19">
        <f t="shared" si="5"/>
        <v>1845</v>
      </c>
      <c r="H143" t="s">
        <v>15</v>
      </c>
      <c r="I143">
        <v>46322.797685185185</v>
      </c>
      <c r="J143" s="1" t="b">
        <v>1</v>
      </c>
      <c r="K143" s="1" t="b">
        <v>1</v>
      </c>
      <c r="L143" s="7">
        <v>1657</v>
      </c>
      <c r="M143" s="7">
        <v>1684</v>
      </c>
    </row>
    <row r="144" spans="1:13">
      <c r="A144" s="8">
        <v>2041</v>
      </c>
      <c r="B144" t="s">
        <v>16</v>
      </c>
      <c r="C144" t="s">
        <v>17</v>
      </c>
      <c r="D144" t="s">
        <v>19</v>
      </c>
      <c r="E144" s="18">
        <v>932</v>
      </c>
      <c r="F144" s="19">
        <f t="shared" si="4"/>
        <v>1657</v>
      </c>
      <c r="G144" s="19">
        <f t="shared" si="5"/>
        <v>1845</v>
      </c>
      <c r="H144" t="s">
        <v>15</v>
      </c>
      <c r="I144">
        <v>46322.797685185185</v>
      </c>
      <c r="J144" s="1" t="b">
        <v>1</v>
      </c>
      <c r="K144" s="1" t="b">
        <v>1</v>
      </c>
      <c r="L144" s="7">
        <v>1657</v>
      </c>
      <c r="M144" s="7">
        <v>1684</v>
      </c>
    </row>
    <row r="145" spans="1:13">
      <c r="A145" s="8">
        <v>2041</v>
      </c>
      <c r="B145" t="s">
        <v>20</v>
      </c>
      <c r="C145" t="s">
        <v>21</v>
      </c>
      <c r="D145" t="s">
        <v>22</v>
      </c>
      <c r="E145" s="18">
        <v>172</v>
      </c>
      <c r="F145" s="19">
        <f t="shared" si="4"/>
        <v>188</v>
      </c>
      <c r="G145" s="19">
        <f t="shared" si="5"/>
        <v>1845</v>
      </c>
      <c r="H145" t="s">
        <v>15</v>
      </c>
      <c r="I145">
        <v>46322.797685185185</v>
      </c>
      <c r="J145" s="1" t="b">
        <v>1</v>
      </c>
      <c r="K145" s="1" t="b">
        <v>1</v>
      </c>
      <c r="L145" s="7">
        <v>27</v>
      </c>
      <c r="M145" s="7">
        <v>1684</v>
      </c>
    </row>
    <row r="146" spans="1:13">
      <c r="A146" s="8">
        <v>2041</v>
      </c>
      <c r="B146" t="s">
        <v>20</v>
      </c>
      <c r="C146" t="s">
        <v>21</v>
      </c>
      <c r="D146" t="s">
        <v>23</v>
      </c>
      <c r="E146" s="18">
        <v>0</v>
      </c>
      <c r="F146" s="19">
        <f t="shared" si="4"/>
        <v>188</v>
      </c>
      <c r="G146" s="19">
        <f t="shared" si="5"/>
        <v>1845</v>
      </c>
      <c r="H146" t="s">
        <v>15</v>
      </c>
      <c r="I146">
        <v>46322.797685185185</v>
      </c>
      <c r="J146" s="1" t="b">
        <v>1</v>
      </c>
      <c r="K146" s="1" t="b">
        <v>1</v>
      </c>
      <c r="L146" s="7">
        <v>27</v>
      </c>
      <c r="M146" s="7">
        <v>1684</v>
      </c>
    </row>
    <row r="147" spans="1:13">
      <c r="A147" s="8">
        <v>2041</v>
      </c>
      <c r="B147" t="s">
        <v>20</v>
      </c>
      <c r="C147" t="s">
        <v>21</v>
      </c>
      <c r="D147" t="s">
        <v>24</v>
      </c>
      <c r="E147" s="18">
        <v>16</v>
      </c>
      <c r="F147" s="19">
        <f t="shared" si="4"/>
        <v>188</v>
      </c>
      <c r="G147" s="19">
        <f t="shared" si="5"/>
        <v>1845</v>
      </c>
      <c r="H147" t="s">
        <v>15</v>
      </c>
      <c r="I147">
        <v>46322.797685185185</v>
      </c>
      <c r="J147" s="1" t="b">
        <v>1</v>
      </c>
      <c r="K147" s="1" t="b">
        <v>1</v>
      </c>
      <c r="L147" s="7">
        <v>27</v>
      </c>
      <c r="M147" s="7">
        <v>1684</v>
      </c>
    </row>
    <row r="148" spans="1:13">
      <c r="A148" s="8">
        <v>2041</v>
      </c>
      <c r="B148" t="s">
        <v>25</v>
      </c>
      <c r="C148" t="s">
        <v>26</v>
      </c>
      <c r="D148" t="s">
        <v>26</v>
      </c>
      <c r="E148" s="18">
        <v>0</v>
      </c>
      <c r="F148" s="19">
        <f t="shared" si="4"/>
        <v>0</v>
      </c>
      <c r="G148" s="19">
        <f t="shared" si="5"/>
        <v>1845</v>
      </c>
      <c r="H148" t="s">
        <v>15</v>
      </c>
      <c r="I148">
        <v>46322.797685185185</v>
      </c>
      <c r="J148" s="1" t="b">
        <v>1</v>
      </c>
      <c r="K148" s="1" t="b">
        <v>1</v>
      </c>
      <c r="L148" s="7">
        <v>0</v>
      </c>
      <c r="M148" s="7">
        <v>1684</v>
      </c>
    </row>
    <row r="149" spans="1:13">
      <c r="A149" s="8">
        <v>2041</v>
      </c>
      <c r="B149" t="s">
        <v>27</v>
      </c>
      <c r="C149" t="s">
        <v>28</v>
      </c>
      <c r="D149" t="s">
        <v>29</v>
      </c>
      <c r="E149" s="18">
        <v>0</v>
      </c>
      <c r="F149" s="19">
        <f t="shared" si="4"/>
        <v>0</v>
      </c>
      <c r="G149" s="19">
        <f t="shared" si="5"/>
        <v>1845</v>
      </c>
      <c r="H149" t="s">
        <v>15</v>
      </c>
      <c r="I149">
        <v>46322.797685185185</v>
      </c>
      <c r="J149" s="1" t="b">
        <v>1</v>
      </c>
      <c r="K149" s="1" t="b">
        <v>1</v>
      </c>
      <c r="L149" s="7">
        <v>0</v>
      </c>
      <c r="M149" s="7">
        <v>1684</v>
      </c>
    </row>
    <row r="150" spans="1:13">
      <c r="A150" s="8">
        <v>2042</v>
      </c>
      <c r="B150" t="s">
        <v>13</v>
      </c>
      <c r="C150" t="s">
        <v>14</v>
      </c>
      <c r="D150" t="s">
        <v>14</v>
      </c>
      <c r="E150" s="18">
        <v>0</v>
      </c>
      <c r="F150" s="19">
        <f t="shared" si="4"/>
        <v>0</v>
      </c>
      <c r="G150" s="19">
        <f t="shared" si="5"/>
        <v>1090</v>
      </c>
      <c r="H150" t="s">
        <v>15</v>
      </c>
      <c r="I150">
        <v>46322.797685185185</v>
      </c>
      <c r="J150" s="1" t="b">
        <v>1</v>
      </c>
      <c r="K150" s="1" t="b">
        <v>1</v>
      </c>
      <c r="L150" s="7">
        <v>0</v>
      </c>
      <c r="M150" s="7">
        <v>893</v>
      </c>
    </row>
    <row r="151" spans="1:13">
      <c r="A151" s="8">
        <v>2042</v>
      </c>
      <c r="B151" t="s">
        <v>16</v>
      </c>
      <c r="C151" t="s">
        <v>17</v>
      </c>
      <c r="D151" t="s">
        <v>18</v>
      </c>
      <c r="E151" s="18">
        <v>730</v>
      </c>
      <c r="F151" s="19">
        <f t="shared" si="4"/>
        <v>863</v>
      </c>
      <c r="G151" s="19">
        <f t="shared" si="5"/>
        <v>1090</v>
      </c>
      <c r="H151" t="s">
        <v>15</v>
      </c>
      <c r="I151">
        <v>46322.797685185185</v>
      </c>
      <c r="J151" s="1" t="b">
        <v>1</v>
      </c>
      <c r="K151" s="1" t="b">
        <v>1</v>
      </c>
      <c r="L151" s="7">
        <v>863</v>
      </c>
      <c r="M151" s="7">
        <v>893</v>
      </c>
    </row>
    <row r="152" spans="1:13">
      <c r="A152" s="8">
        <v>2042</v>
      </c>
      <c r="B152" t="s">
        <v>16</v>
      </c>
      <c r="C152" t="s">
        <v>17</v>
      </c>
      <c r="D152" t="s">
        <v>19</v>
      </c>
      <c r="E152" s="18">
        <v>133</v>
      </c>
      <c r="F152" s="19">
        <f t="shared" si="4"/>
        <v>863</v>
      </c>
      <c r="G152" s="19">
        <f t="shared" si="5"/>
        <v>1090</v>
      </c>
      <c r="H152" t="s">
        <v>15</v>
      </c>
      <c r="I152">
        <v>46322.797685185185</v>
      </c>
      <c r="J152" s="1" t="b">
        <v>1</v>
      </c>
      <c r="K152" s="1" t="b">
        <v>1</v>
      </c>
      <c r="L152" s="7">
        <v>863</v>
      </c>
      <c r="M152" s="7">
        <v>893</v>
      </c>
    </row>
    <row r="153" spans="1:13">
      <c r="A153" s="8">
        <v>2042</v>
      </c>
      <c r="B153" t="s">
        <v>20</v>
      </c>
      <c r="C153" t="s">
        <v>21</v>
      </c>
      <c r="D153" t="s">
        <v>22</v>
      </c>
      <c r="E153" s="18">
        <v>208</v>
      </c>
      <c r="F153" s="19">
        <f t="shared" si="4"/>
        <v>227</v>
      </c>
      <c r="G153" s="19">
        <f t="shared" si="5"/>
        <v>1090</v>
      </c>
      <c r="H153" t="s">
        <v>15</v>
      </c>
      <c r="I153">
        <v>46322.797685185185</v>
      </c>
      <c r="J153" s="1" t="b">
        <v>1</v>
      </c>
      <c r="K153" s="1" t="b">
        <v>1</v>
      </c>
      <c r="L153" s="7">
        <v>30</v>
      </c>
      <c r="M153" s="7">
        <v>893</v>
      </c>
    </row>
    <row r="154" spans="1:13">
      <c r="A154" s="8">
        <v>2042</v>
      </c>
      <c r="B154" t="s">
        <v>20</v>
      </c>
      <c r="C154" t="s">
        <v>21</v>
      </c>
      <c r="D154" t="s">
        <v>23</v>
      </c>
      <c r="E154" s="18">
        <v>0</v>
      </c>
      <c r="F154" s="19">
        <f t="shared" si="4"/>
        <v>227</v>
      </c>
      <c r="G154" s="19">
        <f t="shared" si="5"/>
        <v>1090</v>
      </c>
      <c r="H154" t="s">
        <v>15</v>
      </c>
      <c r="I154">
        <v>46322.797685185185</v>
      </c>
      <c r="J154" s="1" t="b">
        <v>1</v>
      </c>
      <c r="K154" s="1" t="b">
        <v>1</v>
      </c>
      <c r="L154" s="7">
        <v>30</v>
      </c>
      <c r="M154" s="7">
        <v>893</v>
      </c>
    </row>
    <row r="155" spans="1:13">
      <c r="A155" s="8">
        <v>2042</v>
      </c>
      <c r="B155" t="s">
        <v>20</v>
      </c>
      <c r="C155" t="s">
        <v>21</v>
      </c>
      <c r="D155" t="s">
        <v>24</v>
      </c>
      <c r="E155" s="18">
        <v>19</v>
      </c>
      <c r="F155" s="19">
        <f t="shared" si="4"/>
        <v>227</v>
      </c>
      <c r="G155" s="19">
        <f t="shared" si="5"/>
        <v>1090</v>
      </c>
      <c r="H155" t="s">
        <v>15</v>
      </c>
      <c r="I155">
        <v>46322.797685185185</v>
      </c>
      <c r="J155" s="1" t="b">
        <v>1</v>
      </c>
      <c r="K155" s="1" t="b">
        <v>1</v>
      </c>
      <c r="L155" s="7">
        <v>30</v>
      </c>
      <c r="M155" s="7">
        <v>893</v>
      </c>
    </row>
    <row r="156" spans="1:13">
      <c r="A156" s="8">
        <v>2042</v>
      </c>
      <c r="B156" t="s">
        <v>25</v>
      </c>
      <c r="C156" t="s">
        <v>26</v>
      </c>
      <c r="D156" t="s">
        <v>26</v>
      </c>
      <c r="E156" s="18">
        <v>0</v>
      </c>
      <c r="F156" s="19">
        <f t="shared" si="4"/>
        <v>0</v>
      </c>
      <c r="G156" s="19">
        <f t="shared" si="5"/>
        <v>1090</v>
      </c>
      <c r="H156" t="s">
        <v>15</v>
      </c>
      <c r="I156">
        <v>46322.797685185185</v>
      </c>
      <c r="J156" s="1" t="b">
        <v>1</v>
      </c>
      <c r="K156" s="1" t="b">
        <v>1</v>
      </c>
      <c r="L156" s="7">
        <v>0</v>
      </c>
      <c r="M156" s="7">
        <v>893</v>
      </c>
    </row>
    <row r="157" spans="1:13">
      <c r="A157" s="8">
        <v>2042</v>
      </c>
      <c r="B157" t="s">
        <v>27</v>
      </c>
      <c r="C157" t="s">
        <v>28</v>
      </c>
      <c r="D157" t="s">
        <v>29</v>
      </c>
      <c r="E157" s="18">
        <v>0</v>
      </c>
      <c r="F157" s="19">
        <f t="shared" si="4"/>
        <v>0</v>
      </c>
      <c r="G157" s="19">
        <f t="shared" si="5"/>
        <v>1090</v>
      </c>
      <c r="H157" t="s">
        <v>15</v>
      </c>
      <c r="I157">
        <v>46322.797685185185</v>
      </c>
      <c r="J157" s="1" t="b">
        <v>1</v>
      </c>
      <c r="K157" s="1" t="b">
        <v>1</v>
      </c>
      <c r="L157" s="7">
        <v>0</v>
      </c>
      <c r="M157" s="7">
        <v>893</v>
      </c>
    </row>
    <row r="158" spans="1:13">
      <c r="A158" s="8">
        <v>2043</v>
      </c>
      <c r="B158" t="s">
        <v>13</v>
      </c>
      <c r="C158" t="s">
        <v>14</v>
      </c>
      <c r="D158" t="s">
        <v>14</v>
      </c>
      <c r="E158" s="18">
        <v>0</v>
      </c>
      <c r="F158" s="19">
        <f t="shared" si="4"/>
        <v>0</v>
      </c>
      <c r="G158" s="19">
        <f t="shared" si="5"/>
        <v>977</v>
      </c>
      <c r="H158" t="s">
        <v>15</v>
      </c>
      <c r="I158">
        <v>46322.797685185185</v>
      </c>
      <c r="J158" s="1" t="b">
        <v>1</v>
      </c>
      <c r="K158" s="1" t="b">
        <v>1</v>
      </c>
      <c r="L158" s="7">
        <v>0</v>
      </c>
      <c r="M158" s="7">
        <v>808</v>
      </c>
    </row>
    <row r="159" spans="1:13">
      <c r="A159" s="8">
        <v>2043</v>
      </c>
      <c r="B159" t="s">
        <v>16</v>
      </c>
      <c r="C159" t="s">
        <v>17</v>
      </c>
      <c r="D159" t="s">
        <v>18</v>
      </c>
      <c r="E159" s="18">
        <v>735</v>
      </c>
      <c r="F159" s="19">
        <f t="shared" si="4"/>
        <v>735</v>
      </c>
      <c r="G159" s="19">
        <f t="shared" si="5"/>
        <v>977</v>
      </c>
      <c r="H159" t="s">
        <v>15</v>
      </c>
      <c r="I159">
        <v>46322.797685185185</v>
      </c>
      <c r="J159" s="1" t="b">
        <v>1</v>
      </c>
      <c r="K159" s="1" t="b">
        <v>1</v>
      </c>
      <c r="L159" s="7">
        <v>735</v>
      </c>
      <c r="M159" s="7">
        <v>808</v>
      </c>
    </row>
    <row r="160" spans="1:13">
      <c r="A160" s="8">
        <v>2043</v>
      </c>
      <c r="B160" t="s">
        <v>16</v>
      </c>
      <c r="C160" t="s">
        <v>17</v>
      </c>
      <c r="D160" t="s">
        <v>19</v>
      </c>
      <c r="E160" s="18">
        <v>0</v>
      </c>
      <c r="F160" s="19">
        <f t="shared" si="4"/>
        <v>735</v>
      </c>
      <c r="G160" s="19">
        <f t="shared" si="5"/>
        <v>977</v>
      </c>
      <c r="H160" t="s">
        <v>15</v>
      </c>
      <c r="I160">
        <v>46322.797685185185</v>
      </c>
      <c r="J160" s="1" t="b">
        <v>1</v>
      </c>
      <c r="K160" s="1" t="b">
        <v>1</v>
      </c>
      <c r="L160" s="7">
        <v>735</v>
      </c>
      <c r="M160" s="7">
        <v>808</v>
      </c>
    </row>
    <row r="161" spans="1:13">
      <c r="A161" s="8">
        <v>2043</v>
      </c>
      <c r="B161" t="s">
        <v>20</v>
      </c>
      <c r="C161" t="s">
        <v>21</v>
      </c>
      <c r="D161" t="s">
        <v>22</v>
      </c>
      <c r="E161" s="18">
        <v>180</v>
      </c>
      <c r="F161" s="19">
        <f t="shared" si="4"/>
        <v>242</v>
      </c>
      <c r="G161" s="19">
        <f t="shared" si="5"/>
        <v>977</v>
      </c>
      <c r="H161" t="s">
        <v>15</v>
      </c>
      <c r="I161">
        <v>46322.797685185185</v>
      </c>
      <c r="J161" s="1" t="b">
        <v>1</v>
      </c>
      <c r="K161" s="1" t="b">
        <v>1</v>
      </c>
      <c r="L161" s="7">
        <v>73</v>
      </c>
      <c r="M161" s="7">
        <v>808</v>
      </c>
    </row>
    <row r="162" spans="1:13">
      <c r="A162" s="8">
        <v>2043</v>
      </c>
      <c r="B162" t="s">
        <v>20</v>
      </c>
      <c r="C162" t="s">
        <v>21</v>
      </c>
      <c r="D162" t="s">
        <v>23</v>
      </c>
      <c r="E162" s="18">
        <v>0</v>
      </c>
      <c r="F162" s="19">
        <f t="shared" si="4"/>
        <v>242</v>
      </c>
      <c r="G162" s="19">
        <f t="shared" si="5"/>
        <v>977</v>
      </c>
      <c r="H162" t="s">
        <v>15</v>
      </c>
      <c r="I162">
        <v>46322.797685185185</v>
      </c>
      <c r="J162" s="1" t="b">
        <v>1</v>
      </c>
      <c r="K162" s="1" t="b">
        <v>1</v>
      </c>
      <c r="L162" s="7">
        <v>73</v>
      </c>
      <c r="M162" s="7">
        <v>808</v>
      </c>
    </row>
    <row r="163" spans="1:13">
      <c r="A163" s="8">
        <v>2043</v>
      </c>
      <c r="B163" t="s">
        <v>20</v>
      </c>
      <c r="C163" t="s">
        <v>21</v>
      </c>
      <c r="D163" t="s">
        <v>24</v>
      </c>
      <c r="E163" s="18">
        <v>62</v>
      </c>
      <c r="F163" s="19">
        <f t="shared" si="4"/>
        <v>242</v>
      </c>
      <c r="G163" s="19">
        <f t="shared" si="5"/>
        <v>977</v>
      </c>
      <c r="H163" t="s">
        <v>15</v>
      </c>
      <c r="I163">
        <v>46322.797685185185</v>
      </c>
      <c r="J163" s="1" t="b">
        <v>1</v>
      </c>
      <c r="K163" s="1" t="b">
        <v>1</v>
      </c>
      <c r="L163" s="7">
        <v>73</v>
      </c>
      <c r="M163" s="7">
        <v>808</v>
      </c>
    </row>
    <row r="164" spans="1:13">
      <c r="A164" s="8">
        <v>2043</v>
      </c>
      <c r="B164" t="s">
        <v>25</v>
      </c>
      <c r="C164" t="s">
        <v>26</v>
      </c>
      <c r="D164" t="s">
        <v>26</v>
      </c>
      <c r="E164" s="18">
        <v>0</v>
      </c>
      <c r="F164" s="19">
        <f t="shared" si="4"/>
        <v>0</v>
      </c>
      <c r="G164" s="19">
        <f t="shared" si="5"/>
        <v>977</v>
      </c>
      <c r="H164" t="s">
        <v>15</v>
      </c>
      <c r="I164">
        <v>46322.797685185185</v>
      </c>
      <c r="J164" s="1" t="b">
        <v>1</v>
      </c>
      <c r="K164" s="1" t="b">
        <v>1</v>
      </c>
      <c r="L164" s="7">
        <v>0</v>
      </c>
      <c r="M164" s="7">
        <v>808</v>
      </c>
    </row>
    <row r="165" spans="1:13">
      <c r="A165" s="8">
        <v>2043</v>
      </c>
      <c r="B165" t="s">
        <v>27</v>
      </c>
      <c r="C165" t="s">
        <v>28</v>
      </c>
      <c r="D165" t="s">
        <v>29</v>
      </c>
      <c r="E165" s="18">
        <v>0</v>
      </c>
      <c r="F165" s="19">
        <f t="shared" si="4"/>
        <v>0</v>
      </c>
      <c r="G165" s="19">
        <f t="shared" si="5"/>
        <v>977</v>
      </c>
      <c r="H165" t="s">
        <v>15</v>
      </c>
      <c r="I165">
        <v>46322.797685185185</v>
      </c>
      <c r="J165" s="1" t="b">
        <v>1</v>
      </c>
      <c r="K165" s="1" t="b">
        <v>1</v>
      </c>
      <c r="L165" s="7">
        <v>0</v>
      </c>
      <c r="M165" s="7">
        <v>808</v>
      </c>
    </row>
    <row r="166" spans="1:13">
      <c r="A166" s="8">
        <v>2044</v>
      </c>
      <c r="B166" t="s">
        <v>13</v>
      </c>
      <c r="C166" t="s">
        <v>14</v>
      </c>
      <c r="D166" t="s">
        <v>14</v>
      </c>
      <c r="E166" s="18">
        <v>0</v>
      </c>
      <c r="F166" s="19">
        <f t="shared" si="4"/>
        <v>0</v>
      </c>
      <c r="G166" s="19">
        <f t="shared" si="5"/>
        <v>1180</v>
      </c>
      <c r="H166" t="s">
        <v>15</v>
      </c>
      <c r="I166">
        <v>46322.797685185185</v>
      </c>
      <c r="J166" s="1" t="b">
        <v>1</v>
      </c>
      <c r="K166" s="1" t="b">
        <v>1</v>
      </c>
      <c r="L166" s="7">
        <v>0</v>
      </c>
      <c r="M166" s="7">
        <v>967</v>
      </c>
    </row>
    <row r="167" spans="1:13">
      <c r="A167" s="8">
        <v>2044</v>
      </c>
      <c r="B167" t="s">
        <v>16</v>
      </c>
      <c r="C167" t="s">
        <v>17</v>
      </c>
      <c r="D167" t="s">
        <v>18</v>
      </c>
      <c r="E167" s="18">
        <v>740</v>
      </c>
      <c r="F167" s="19">
        <f t="shared" si="4"/>
        <v>873</v>
      </c>
      <c r="G167" s="19">
        <f t="shared" si="5"/>
        <v>1180</v>
      </c>
      <c r="H167" t="s">
        <v>15</v>
      </c>
      <c r="I167">
        <v>46322.797685185185</v>
      </c>
      <c r="J167" s="1" t="b">
        <v>1</v>
      </c>
      <c r="K167" s="1" t="b">
        <v>1</v>
      </c>
      <c r="L167" s="7">
        <v>873</v>
      </c>
      <c r="M167" s="7">
        <v>967</v>
      </c>
    </row>
    <row r="168" spans="1:13">
      <c r="A168" s="8">
        <v>2044</v>
      </c>
      <c r="B168" t="s">
        <v>16</v>
      </c>
      <c r="C168" t="s">
        <v>17</v>
      </c>
      <c r="D168" t="s">
        <v>19</v>
      </c>
      <c r="E168" s="18">
        <v>133</v>
      </c>
      <c r="F168" s="19">
        <f t="shared" si="4"/>
        <v>873</v>
      </c>
      <c r="G168" s="19">
        <f t="shared" si="5"/>
        <v>1180</v>
      </c>
      <c r="H168" t="s">
        <v>15</v>
      </c>
      <c r="I168">
        <v>46322.797685185185</v>
      </c>
      <c r="J168" s="1" t="b">
        <v>1</v>
      </c>
      <c r="K168" s="1" t="b">
        <v>1</v>
      </c>
      <c r="L168" s="7">
        <v>873</v>
      </c>
      <c r="M168" s="7">
        <v>967</v>
      </c>
    </row>
    <row r="169" spans="1:13">
      <c r="A169" s="8">
        <v>2044</v>
      </c>
      <c r="B169" t="s">
        <v>20</v>
      </c>
      <c r="C169" t="s">
        <v>21</v>
      </c>
      <c r="D169" t="s">
        <v>22</v>
      </c>
      <c r="E169" s="18">
        <v>280</v>
      </c>
      <c r="F169" s="19">
        <f t="shared" si="4"/>
        <v>307</v>
      </c>
      <c r="G169" s="19">
        <f t="shared" si="5"/>
        <v>1180</v>
      </c>
      <c r="H169" t="s">
        <v>15</v>
      </c>
      <c r="I169">
        <v>46322.797685185185</v>
      </c>
      <c r="J169" s="1" t="b">
        <v>1</v>
      </c>
      <c r="K169" s="1" t="b">
        <v>1</v>
      </c>
      <c r="L169" s="7">
        <v>94</v>
      </c>
      <c r="M169" s="7">
        <v>967</v>
      </c>
    </row>
    <row r="170" spans="1:13">
      <c r="A170" s="8">
        <v>2044</v>
      </c>
      <c r="B170" t="s">
        <v>20</v>
      </c>
      <c r="C170" t="s">
        <v>21</v>
      </c>
      <c r="D170" t="s">
        <v>23</v>
      </c>
      <c r="E170" s="18">
        <v>0</v>
      </c>
      <c r="F170" s="19">
        <f t="shared" si="4"/>
        <v>307</v>
      </c>
      <c r="G170" s="19">
        <f t="shared" si="5"/>
        <v>1180</v>
      </c>
      <c r="H170" t="s">
        <v>15</v>
      </c>
      <c r="I170">
        <v>46322.797685185185</v>
      </c>
      <c r="J170" s="1" t="b">
        <v>1</v>
      </c>
      <c r="K170" s="1" t="b">
        <v>1</v>
      </c>
      <c r="L170" s="7">
        <v>94</v>
      </c>
      <c r="M170" s="7">
        <v>967</v>
      </c>
    </row>
    <row r="171" spans="1:13">
      <c r="A171" s="8">
        <v>2044</v>
      </c>
      <c r="B171" t="s">
        <v>20</v>
      </c>
      <c r="C171" t="s">
        <v>21</v>
      </c>
      <c r="D171" t="s">
        <v>24</v>
      </c>
      <c r="E171" s="18">
        <v>27</v>
      </c>
      <c r="F171" s="19">
        <f t="shared" si="4"/>
        <v>307</v>
      </c>
      <c r="G171" s="19">
        <f t="shared" si="5"/>
        <v>1180</v>
      </c>
      <c r="H171" t="s">
        <v>15</v>
      </c>
      <c r="I171">
        <v>46322.797685185185</v>
      </c>
      <c r="J171" s="1" t="b">
        <v>1</v>
      </c>
      <c r="K171" s="1" t="b">
        <v>1</v>
      </c>
      <c r="L171" s="7">
        <v>94</v>
      </c>
      <c r="M171" s="7">
        <v>967</v>
      </c>
    </row>
    <row r="172" spans="1:13">
      <c r="A172" s="8">
        <v>2044</v>
      </c>
      <c r="B172" t="s">
        <v>25</v>
      </c>
      <c r="C172" t="s">
        <v>26</v>
      </c>
      <c r="D172" t="s">
        <v>26</v>
      </c>
      <c r="E172" s="18">
        <v>0</v>
      </c>
      <c r="F172" s="19">
        <f t="shared" si="4"/>
        <v>0</v>
      </c>
      <c r="G172" s="19">
        <f t="shared" si="5"/>
        <v>1180</v>
      </c>
      <c r="H172" t="s">
        <v>15</v>
      </c>
      <c r="I172">
        <v>46322.797685185185</v>
      </c>
      <c r="J172" s="1" t="b">
        <v>1</v>
      </c>
      <c r="K172" s="1" t="b">
        <v>1</v>
      </c>
      <c r="L172" s="7">
        <v>0</v>
      </c>
      <c r="M172" s="7">
        <v>967</v>
      </c>
    </row>
    <row r="173" spans="1:13">
      <c r="A173" s="8">
        <v>2044</v>
      </c>
      <c r="B173" t="s">
        <v>27</v>
      </c>
      <c r="C173" t="s">
        <v>28</v>
      </c>
      <c r="D173" t="s">
        <v>29</v>
      </c>
      <c r="E173" s="18">
        <v>0</v>
      </c>
      <c r="F173" s="19">
        <f t="shared" si="4"/>
        <v>0</v>
      </c>
      <c r="G173" s="19">
        <f t="shared" si="5"/>
        <v>1180</v>
      </c>
      <c r="H173" t="s">
        <v>15</v>
      </c>
      <c r="I173">
        <v>46322.797685185185</v>
      </c>
      <c r="J173" s="1" t="b">
        <v>1</v>
      </c>
      <c r="K173" s="1" t="b">
        <v>1</v>
      </c>
      <c r="L173" s="7">
        <v>0</v>
      </c>
      <c r="M173" s="7">
        <v>967</v>
      </c>
    </row>
    <row r="174" spans="1:13">
      <c r="A174" s="8">
        <v>2045</v>
      </c>
      <c r="B174" t="s">
        <v>13</v>
      </c>
      <c r="C174" t="s">
        <v>14</v>
      </c>
      <c r="D174" t="s">
        <v>14</v>
      </c>
      <c r="E174" s="18">
        <v>0</v>
      </c>
      <c r="F174" s="19">
        <f t="shared" si="4"/>
        <v>0</v>
      </c>
      <c r="G174" s="19">
        <f t="shared" si="5"/>
        <v>1041</v>
      </c>
      <c r="H174" t="s">
        <v>15</v>
      </c>
      <c r="I174">
        <v>46322.797685185185</v>
      </c>
      <c r="J174" s="1" t="b">
        <v>1</v>
      </c>
      <c r="K174" s="1" t="b">
        <v>1</v>
      </c>
      <c r="L174" s="7">
        <v>0</v>
      </c>
      <c r="M174" s="7">
        <v>906</v>
      </c>
    </row>
    <row r="175" spans="1:13">
      <c r="A175" s="8">
        <v>2045</v>
      </c>
      <c r="B175" t="s">
        <v>16</v>
      </c>
      <c r="C175" t="s">
        <v>17</v>
      </c>
      <c r="D175" t="s">
        <v>18</v>
      </c>
      <c r="E175" s="18">
        <v>745</v>
      </c>
      <c r="F175" s="19">
        <f t="shared" si="4"/>
        <v>878</v>
      </c>
      <c r="G175" s="19">
        <f t="shared" si="5"/>
        <v>1041</v>
      </c>
      <c r="H175" t="s">
        <v>15</v>
      </c>
      <c r="I175">
        <v>46322.797685185185</v>
      </c>
      <c r="J175" s="1" t="b">
        <v>1</v>
      </c>
      <c r="K175" s="1" t="b">
        <v>1</v>
      </c>
      <c r="L175" s="7">
        <v>878</v>
      </c>
      <c r="M175" s="7">
        <v>906</v>
      </c>
    </row>
    <row r="176" spans="1:13">
      <c r="A176" s="8">
        <v>2045</v>
      </c>
      <c r="B176" t="s">
        <v>16</v>
      </c>
      <c r="C176" t="s">
        <v>17</v>
      </c>
      <c r="D176" t="s">
        <v>19</v>
      </c>
      <c r="E176" s="18">
        <v>133</v>
      </c>
      <c r="F176" s="19">
        <f t="shared" si="4"/>
        <v>878</v>
      </c>
      <c r="G176" s="19">
        <f t="shared" si="5"/>
        <v>1041</v>
      </c>
      <c r="H176" t="s">
        <v>15</v>
      </c>
      <c r="I176">
        <v>46322.797685185185</v>
      </c>
      <c r="J176" s="1" t="b">
        <v>1</v>
      </c>
      <c r="K176" s="1" t="b">
        <v>1</v>
      </c>
      <c r="L176" s="7">
        <v>878</v>
      </c>
      <c r="M176" s="7">
        <v>906</v>
      </c>
    </row>
    <row r="177" spans="1:13">
      <c r="A177" s="8">
        <v>2045</v>
      </c>
      <c r="B177" t="s">
        <v>20</v>
      </c>
      <c r="C177" t="s">
        <v>21</v>
      </c>
      <c r="D177" t="s">
        <v>22</v>
      </c>
      <c r="E177" s="18">
        <v>136</v>
      </c>
      <c r="F177" s="19">
        <f t="shared" si="4"/>
        <v>163</v>
      </c>
      <c r="G177" s="19">
        <f t="shared" si="5"/>
        <v>1041</v>
      </c>
      <c r="H177" t="s">
        <v>15</v>
      </c>
      <c r="I177">
        <v>46322.797685185185</v>
      </c>
      <c r="J177" s="1" t="b">
        <v>1</v>
      </c>
      <c r="K177" s="1" t="b">
        <v>1</v>
      </c>
      <c r="L177" s="7">
        <v>28</v>
      </c>
      <c r="M177" s="7">
        <v>906</v>
      </c>
    </row>
    <row r="178" spans="1:13">
      <c r="A178" s="8">
        <v>2045</v>
      </c>
      <c r="B178" t="s">
        <v>20</v>
      </c>
      <c r="C178" t="s">
        <v>21</v>
      </c>
      <c r="D178" t="s">
        <v>23</v>
      </c>
      <c r="E178" s="18">
        <v>0</v>
      </c>
      <c r="F178" s="19">
        <f t="shared" si="4"/>
        <v>163</v>
      </c>
      <c r="G178" s="19">
        <f t="shared" si="5"/>
        <v>1041</v>
      </c>
      <c r="H178" t="s">
        <v>15</v>
      </c>
      <c r="I178">
        <v>46322.797685185185</v>
      </c>
      <c r="J178" s="1" t="b">
        <v>1</v>
      </c>
      <c r="K178" s="1" t="b">
        <v>1</v>
      </c>
      <c r="L178" s="7">
        <v>28</v>
      </c>
      <c r="M178" s="7">
        <v>906</v>
      </c>
    </row>
    <row r="179" spans="1:13">
      <c r="A179" s="8">
        <v>2045</v>
      </c>
      <c r="B179" t="s">
        <v>20</v>
      </c>
      <c r="C179" t="s">
        <v>21</v>
      </c>
      <c r="D179" t="s">
        <v>24</v>
      </c>
      <c r="E179" s="18">
        <v>27</v>
      </c>
      <c r="F179" s="19">
        <f t="shared" si="4"/>
        <v>163</v>
      </c>
      <c r="G179" s="19">
        <f t="shared" si="5"/>
        <v>1041</v>
      </c>
      <c r="H179" t="s">
        <v>15</v>
      </c>
      <c r="I179">
        <v>46322.797685185185</v>
      </c>
      <c r="J179" s="1" t="b">
        <v>1</v>
      </c>
      <c r="K179" s="1" t="b">
        <v>1</v>
      </c>
      <c r="L179" s="7">
        <v>28</v>
      </c>
      <c r="M179" s="7">
        <v>906</v>
      </c>
    </row>
    <row r="180" spans="1:13">
      <c r="A180" s="8">
        <v>2045</v>
      </c>
      <c r="B180" t="s">
        <v>25</v>
      </c>
      <c r="C180" t="s">
        <v>26</v>
      </c>
      <c r="D180" t="s">
        <v>26</v>
      </c>
      <c r="E180" s="18">
        <v>0</v>
      </c>
      <c r="F180" s="19">
        <f t="shared" si="4"/>
        <v>0</v>
      </c>
      <c r="G180" s="19">
        <f t="shared" si="5"/>
        <v>1041</v>
      </c>
      <c r="H180" t="s">
        <v>15</v>
      </c>
      <c r="I180">
        <v>46322.797685185185</v>
      </c>
      <c r="J180" s="1" t="b">
        <v>1</v>
      </c>
      <c r="K180" s="1" t="b">
        <v>1</v>
      </c>
      <c r="L180" s="7">
        <v>0</v>
      </c>
      <c r="M180" s="7">
        <v>906</v>
      </c>
    </row>
    <row r="181" spans="1:13">
      <c r="A181" s="8">
        <v>2045</v>
      </c>
      <c r="B181" t="s">
        <v>27</v>
      </c>
      <c r="C181" t="s">
        <v>28</v>
      </c>
      <c r="D181" t="s">
        <v>29</v>
      </c>
      <c r="E181" s="18">
        <v>0</v>
      </c>
      <c r="F181" s="19">
        <f t="shared" si="4"/>
        <v>0</v>
      </c>
      <c r="G181" s="19">
        <f t="shared" si="5"/>
        <v>1041</v>
      </c>
      <c r="H181" t="s">
        <v>15</v>
      </c>
      <c r="I181">
        <v>46322.797685185185</v>
      </c>
      <c r="J181" s="1" t="b">
        <v>1</v>
      </c>
      <c r="K181" s="1" t="b">
        <v>1</v>
      </c>
      <c r="L181" s="7">
        <v>0</v>
      </c>
      <c r="M181" s="7">
        <v>906</v>
      </c>
    </row>
    <row r="182" spans="1:13">
      <c r="A182" s="8">
        <v>2046</v>
      </c>
      <c r="B182" t="s">
        <v>13</v>
      </c>
      <c r="C182" t="s">
        <v>14</v>
      </c>
      <c r="D182" t="s">
        <v>14</v>
      </c>
      <c r="E182" s="18">
        <v>0</v>
      </c>
      <c r="F182" s="19">
        <f t="shared" si="4"/>
        <v>0</v>
      </c>
      <c r="G182" s="19">
        <f t="shared" si="5"/>
        <v>958</v>
      </c>
      <c r="H182" t="s">
        <v>15</v>
      </c>
      <c r="I182">
        <v>46322.797685185185</v>
      </c>
      <c r="J182" s="1" t="b">
        <v>1</v>
      </c>
      <c r="K182" s="1" t="b">
        <v>1</v>
      </c>
      <c r="L182" s="7">
        <v>0</v>
      </c>
      <c r="M182" s="7">
        <v>912</v>
      </c>
    </row>
    <row r="183" spans="1:13">
      <c r="A183" s="8">
        <v>2046</v>
      </c>
      <c r="B183" t="s">
        <v>16</v>
      </c>
      <c r="C183" t="s">
        <v>17</v>
      </c>
      <c r="D183" t="s">
        <v>18</v>
      </c>
      <c r="E183" s="18">
        <v>751</v>
      </c>
      <c r="F183" s="19">
        <f t="shared" si="4"/>
        <v>884</v>
      </c>
      <c r="G183" s="19">
        <f t="shared" si="5"/>
        <v>958</v>
      </c>
      <c r="H183" t="s">
        <v>15</v>
      </c>
      <c r="I183">
        <v>46322.797685185185</v>
      </c>
      <c r="J183" s="1" t="b">
        <v>1</v>
      </c>
      <c r="K183" s="1" t="b">
        <v>1</v>
      </c>
      <c r="L183" s="7">
        <v>884</v>
      </c>
      <c r="M183" s="7">
        <v>912</v>
      </c>
    </row>
    <row r="184" spans="1:13">
      <c r="A184" s="8">
        <v>2046</v>
      </c>
      <c r="B184" t="s">
        <v>16</v>
      </c>
      <c r="C184" t="s">
        <v>17</v>
      </c>
      <c r="D184" t="s">
        <v>19</v>
      </c>
      <c r="E184" s="18">
        <v>133</v>
      </c>
      <c r="F184" s="19">
        <f t="shared" si="4"/>
        <v>884</v>
      </c>
      <c r="G184" s="19">
        <f t="shared" si="5"/>
        <v>958</v>
      </c>
      <c r="H184" t="s">
        <v>15</v>
      </c>
      <c r="I184">
        <v>46322.797685185185</v>
      </c>
      <c r="J184" s="1" t="b">
        <v>1</v>
      </c>
      <c r="K184" s="1" t="b">
        <v>1</v>
      </c>
      <c r="L184" s="7">
        <v>884</v>
      </c>
      <c r="M184" s="7">
        <v>912</v>
      </c>
    </row>
    <row r="185" spans="1:13">
      <c r="A185" s="8">
        <v>2046</v>
      </c>
      <c r="B185" t="s">
        <v>20</v>
      </c>
      <c r="C185" t="s">
        <v>21</v>
      </c>
      <c r="D185" t="s">
        <v>22</v>
      </c>
      <c r="E185" s="18">
        <v>47</v>
      </c>
      <c r="F185" s="19">
        <f t="shared" si="4"/>
        <v>74</v>
      </c>
      <c r="G185" s="19">
        <f t="shared" si="5"/>
        <v>958</v>
      </c>
      <c r="H185" t="s">
        <v>15</v>
      </c>
      <c r="I185">
        <v>46322.797685185185</v>
      </c>
      <c r="J185" s="1" t="b">
        <v>1</v>
      </c>
      <c r="K185" s="1" t="b">
        <v>1</v>
      </c>
      <c r="L185" s="7">
        <v>28</v>
      </c>
      <c r="M185" s="7">
        <v>912</v>
      </c>
    </row>
    <row r="186" spans="1:13">
      <c r="A186" s="8">
        <v>2046</v>
      </c>
      <c r="B186" t="s">
        <v>20</v>
      </c>
      <c r="C186" t="s">
        <v>21</v>
      </c>
      <c r="D186" t="s">
        <v>23</v>
      </c>
      <c r="E186" s="18">
        <v>0</v>
      </c>
      <c r="F186" s="19">
        <f t="shared" si="4"/>
        <v>74</v>
      </c>
      <c r="G186" s="19">
        <f t="shared" si="5"/>
        <v>958</v>
      </c>
      <c r="H186" t="s">
        <v>15</v>
      </c>
      <c r="I186">
        <v>46322.797685185185</v>
      </c>
      <c r="J186" s="1" t="b">
        <v>1</v>
      </c>
      <c r="K186" s="1" t="b">
        <v>1</v>
      </c>
      <c r="L186" s="7">
        <v>28</v>
      </c>
      <c r="M186" s="7">
        <v>912</v>
      </c>
    </row>
    <row r="187" spans="1:13">
      <c r="A187" s="8">
        <v>2046</v>
      </c>
      <c r="B187" t="s">
        <v>20</v>
      </c>
      <c r="C187" t="s">
        <v>21</v>
      </c>
      <c r="D187" t="s">
        <v>24</v>
      </c>
      <c r="E187" s="18">
        <v>27</v>
      </c>
      <c r="F187" s="19">
        <f t="shared" si="4"/>
        <v>74</v>
      </c>
      <c r="G187" s="19">
        <f t="shared" si="5"/>
        <v>958</v>
      </c>
      <c r="H187" t="s">
        <v>15</v>
      </c>
      <c r="I187">
        <v>46322.797685185185</v>
      </c>
      <c r="J187" s="1" t="b">
        <v>1</v>
      </c>
      <c r="K187" s="1" t="b">
        <v>1</v>
      </c>
      <c r="L187" s="7">
        <v>28</v>
      </c>
      <c r="M187" s="7">
        <v>912</v>
      </c>
    </row>
    <row r="188" spans="1:13">
      <c r="A188" s="8">
        <v>2046</v>
      </c>
      <c r="B188" t="s">
        <v>25</v>
      </c>
      <c r="C188" t="s">
        <v>26</v>
      </c>
      <c r="D188" t="s">
        <v>26</v>
      </c>
      <c r="E188" s="18">
        <v>0</v>
      </c>
      <c r="F188" s="19">
        <f t="shared" si="4"/>
        <v>0</v>
      </c>
      <c r="G188" s="19">
        <f t="shared" si="5"/>
        <v>958</v>
      </c>
      <c r="H188" t="s">
        <v>15</v>
      </c>
      <c r="I188">
        <v>46322.797685185185</v>
      </c>
      <c r="J188" s="1" t="b">
        <v>1</v>
      </c>
      <c r="K188" s="1" t="b">
        <v>1</v>
      </c>
      <c r="L188" s="7">
        <v>0</v>
      </c>
      <c r="M188" s="7">
        <v>912</v>
      </c>
    </row>
    <row r="189" spans="1:13">
      <c r="A189" s="8">
        <v>2046</v>
      </c>
      <c r="B189" t="s">
        <v>27</v>
      </c>
      <c r="C189" t="s">
        <v>28</v>
      </c>
      <c r="D189" t="s">
        <v>29</v>
      </c>
      <c r="E189" s="18">
        <v>0</v>
      </c>
      <c r="F189" s="19">
        <f t="shared" si="4"/>
        <v>0</v>
      </c>
      <c r="G189" s="19">
        <f t="shared" si="5"/>
        <v>958</v>
      </c>
      <c r="H189" t="s">
        <v>15</v>
      </c>
      <c r="I189">
        <v>46322.797685185185</v>
      </c>
      <c r="J189" s="1" t="b">
        <v>1</v>
      </c>
      <c r="K189" s="1" t="b">
        <v>1</v>
      </c>
      <c r="L189" s="7">
        <v>0</v>
      </c>
      <c r="M189" s="7">
        <v>912</v>
      </c>
    </row>
    <row r="190" spans="1:13">
      <c r="A190" s="8">
        <v>2047</v>
      </c>
      <c r="B190" t="s">
        <v>13</v>
      </c>
      <c r="C190" t="s">
        <v>14</v>
      </c>
      <c r="D190" t="s">
        <v>14</v>
      </c>
      <c r="E190" s="18">
        <v>0</v>
      </c>
      <c r="F190" s="19">
        <f t="shared" si="4"/>
        <v>0</v>
      </c>
      <c r="G190" s="19">
        <f t="shared" si="5"/>
        <v>944</v>
      </c>
      <c r="H190" t="s">
        <v>15</v>
      </c>
      <c r="I190">
        <v>46322.797685185185</v>
      </c>
      <c r="J190" s="1" t="b">
        <v>1</v>
      </c>
      <c r="K190" s="1" t="b">
        <v>1</v>
      </c>
      <c r="L190" s="7">
        <v>0</v>
      </c>
      <c r="M190" s="7">
        <v>898</v>
      </c>
    </row>
    <row r="191" spans="1:13">
      <c r="A191" s="8">
        <v>2047</v>
      </c>
      <c r="B191" t="s">
        <v>16</v>
      </c>
      <c r="C191" t="s">
        <v>17</v>
      </c>
      <c r="D191" t="s">
        <v>18</v>
      </c>
      <c r="E191" s="18">
        <v>757</v>
      </c>
      <c r="F191" s="19">
        <f t="shared" si="4"/>
        <v>890</v>
      </c>
      <c r="G191" s="19">
        <f t="shared" si="5"/>
        <v>944</v>
      </c>
      <c r="H191" t="s">
        <v>15</v>
      </c>
      <c r="I191">
        <v>46322.797685185185</v>
      </c>
      <c r="J191" s="1" t="b">
        <v>1</v>
      </c>
      <c r="K191" s="1" t="b">
        <v>1</v>
      </c>
      <c r="L191" s="7">
        <v>890</v>
      </c>
      <c r="M191" s="7">
        <v>898</v>
      </c>
    </row>
    <row r="192" spans="1:13">
      <c r="A192" s="8">
        <v>2047</v>
      </c>
      <c r="B192" t="s">
        <v>16</v>
      </c>
      <c r="C192" t="s">
        <v>17</v>
      </c>
      <c r="D192" t="s">
        <v>19</v>
      </c>
      <c r="E192" s="18">
        <v>133</v>
      </c>
      <c r="F192" s="19">
        <f t="shared" si="4"/>
        <v>890</v>
      </c>
      <c r="G192" s="19">
        <f t="shared" si="5"/>
        <v>944</v>
      </c>
      <c r="H192" t="s">
        <v>15</v>
      </c>
      <c r="I192">
        <v>46322.797685185185</v>
      </c>
      <c r="J192" s="1" t="b">
        <v>1</v>
      </c>
      <c r="K192" s="1" t="b">
        <v>1</v>
      </c>
      <c r="L192" s="7">
        <v>890</v>
      </c>
      <c r="M192" s="7">
        <v>898</v>
      </c>
    </row>
    <row r="193" spans="1:13">
      <c r="A193" s="8">
        <v>2047</v>
      </c>
      <c r="B193" t="s">
        <v>20</v>
      </c>
      <c r="C193" t="s">
        <v>21</v>
      </c>
      <c r="D193" t="s">
        <v>22</v>
      </c>
      <c r="E193" s="18">
        <v>47</v>
      </c>
      <c r="F193" s="19">
        <f t="shared" si="4"/>
        <v>54</v>
      </c>
      <c r="G193" s="19">
        <f t="shared" si="5"/>
        <v>944</v>
      </c>
      <c r="H193" t="s">
        <v>15</v>
      </c>
      <c r="I193">
        <v>46322.797685185185</v>
      </c>
      <c r="J193" s="1" t="b">
        <v>1</v>
      </c>
      <c r="K193" s="1" t="b">
        <v>1</v>
      </c>
      <c r="L193" s="7">
        <v>8</v>
      </c>
      <c r="M193" s="7">
        <v>898</v>
      </c>
    </row>
    <row r="194" spans="1:13">
      <c r="A194" s="8">
        <v>2047</v>
      </c>
      <c r="B194" t="s">
        <v>20</v>
      </c>
      <c r="C194" t="s">
        <v>21</v>
      </c>
      <c r="D194" t="s">
        <v>23</v>
      </c>
      <c r="E194" s="18">
        <v>0</v>
      </c>
      <c r="F194" s="19">
        <f t="shared" ref="F194:F257" si="6">SUMIFS($E$2:$E$269,$A$2:$A$269,$A194,$B$2:$B$269,$B194)</f>
        <v>54</v>
      </c>
      <c r="G194" s="19">
        <f t="shared" ref="G194:G257" si="7">SUMIF($A$2:$A$269,$A194,$E$2:$E$269)</f>
        <v>944</v>
      </c>
      <c r="H194" t="s">
        <v>15</v>
      </c>
      <c r="I194">
        <v>46322.797685185185</v>
      </c>
      <c r="J194" s="1" t="b">
        <v>1</v>
      </c>
      <c r="K194" s="1" t="b">
        <v>1</v>
      </c>
      <c r="L194" s="7">
        <v>8</v>
      </c>
      <c r="M194" s="7">
        <v>898</v>
      </c>
    </row>
    <row r="195" spans="1:13">
      <c r="A195" s="8">
        <v>2047</v>
      </c>
      <c r="B195" t="s">
        <v>20</v>
      </c>
      <c r="C195" t="s">
        <v>21</v>
      </c>
      <c r="D195" t="s">
        <v>24</v>
      </c>
      <c r="E195" s="18">
        <v>7</v>
      </c>
      <c r="F195" s="19">
        <f t="shared" si="6"/>
        <v>54</v>
      </c>
      <c r="G195" s="19">
        <f t="shared" si="7"/>
        <v>944</v>
      </c>
      <c r="H195" t="s">
        <v>15</v>
      </c>
      <c r="I195">
        <v>46322.797685185185</v>
      </c>
      <c r="J195" s="1" t="b">
        <v>1</v>
      </c>
      <c r="K195" s="1" t="b">
        <v>1</v>
      </c>
      <c r="L195" s="7">
        <v>8</v>
      </c>
      <c r="M195" s="7">
        <v>898</v>
      </c>
    </row>
    <row r="196" spans="1:13">
      <c r="A196" s="8">
        <v>2047</v>
      </c>
      <c r="B196" t="s">
        <v>25</v>
      </c>
      <c r="C196" t="s">
        <v>26</v>
      </c>
      <c r="D196" t="s">
        <v>26</v>
      </c>
      <c r="E196" s="18">
        <v>0</v>
      </c>
      <c r="F196" s="19">
        <f t="shared" si="6"/>
        <v>0</v>
      </c>
      <c r="G196" s="19">
        <f t="shared" si="7"/>
        <v>944</v>
      </c>
      <c r="H196" t="s">
        <v>15</v>
      </c>
      <c r="I196">
        <v>46322.797685185185</v>
      </c>
      <c r="J196" s="1" t="b">
        <v>1</v>
      </c>
      <c r="K196" s="1" t="b">
        <v>1</v>
      </c>
      <c r="L196" s="7">
        <v>0</v>
      </c>
      <c r="M196" s="7">
        <v>898</v>
      </c>
    </row>
    <row r="197" spans="1:13">
      <c r="A197" s="8">
        <v>2047</v>
      </c>
      <c r="B197" t="s">
        <v>27</v>
      </c>
      <c r="C197" t="s">
        <v>28</v>
      </c>
      <c r="D197" t="s">
        <v>29</v>
      </c>
      <c r="E197" s="18">
        <v>0</v>
      </c>
      <c r="F197" s="19">
        <f t="shared" si="6"/>
        <v>0</v>
      </c>
      <c r="G197" s="19">
        <f t="shared" si="7"/>
        <v>944</v>
      </c>
      <c r="H197" t="s">
        <v>15</v>
      </c>
      <c r="I197">
        <v>46322.797685185185</v>
      </c>
      <c r="J197" s="1" t="b">
        <v>1</v>
      </c>
      <c r="K197" s="1" t="b">
        <v>1</v>
      </c>
      <c r="L197" s="7">
        <v>0</v>
      </c>
      <c r="M197" s="7">
        <v>898</v>
      </c>
    </row>
    <row r="198" spans="1:13">
      <c r="A198" s="8">
        <v>2048</v>
      </c>
      <c r="B198" t="s">
        <v>13</v>
      </c>
      <c r="C198" t="s">
        <v>14</v>
      </c>
      <c r="D198" t="s">
        <v>14</v>
      </c>
      <c r="E198" s="18">
        <v>0</v>
      </c>
      <c r="F198" s="19">
        <f t="shared" si="6"/>
        <v>0</v>
      </c>
      <c r="G198" s="19">
        <f t="shared" si="7"/>
        <v>620</v>
      </c>
      <c r="H198" t="s">
        <v>15</v>
      </c>
      <c r="I198">
        <v>46322.797685185185</v>
      </c>
      <c r="J198" s="1" t="b">
        <v>1</v>
      </c>
      <c r="K198" s="1" t="b">
        <v>1</v>
      </c>
      <c r="L198" s="7">
        <v>0</v>
      </c>
      <c r="M198" s="7">
        <v>577</v>
      </c>
    </row>
    <row r="199" spans="1:13">
      <c r="A199" s="8">
        <v>2048</v>
      </c>
      <c r="B199" t="s">
        <v>16</v>
      </c>
      <c r="C199" t="s">
        <v>17</v>
      </c>
      <c r="D199" t="s">
        <v>18</v>
      </c>
      <c r="E199" s="18">
        <v>436</v>
      </c>
      <c r="F199" s="19">
        <f t="shared" si="6"/>
        <v>569</v>
      </c>
      <c r="G199" s="19">
        <f t="shared" si="7"/>
        <v>620</v>
      </c>
      <c r="H199" t="s">
        <v>15</v>
      </c>
      <c r="I199">
        <v>46322.797685185185</v>
      </c>
      <c r="J199" s="1" t="b">
        <v>1</v>
      </c>
      <c r="K199" s="1" t="b">
        <v>1</v>
      </c>
      <c r="L199" s="7">
        <v>569</v>
      </c>
      <c r="M199" s="7">
        <v>577</v>
      </c>
    </row>
    <row r="200" spans="1:13">
      <c r="A200" s="8">
        <v>2048</v>
      </c>
      <c r="B200" t="s">
        <v>16</v>
      </c>
      <c r="C200" t="s">
        <v>17</v>
      </c>
      <c r="D200" t="s">
        <v>19</v>
      </c>
      <c r="E200" s="18">
        <v>133</v>
      </c>
      <c r="F200" s="19">
        <f t="shared" si="6"/>
        <v>569</v>
      </c>
      <c r="G200" s="19">
        <f t="shared" si="7"/>
        <v>620</v>
      </c>
      <c r="H200" t="s">
        <v>15</v>
      </c>
      <c r="I200">
        <v>46322.797685185185</v>
      </c>
      <c r="J200" s="1" t="b">
        <v>1</v>
      </c>
      <c r="K200" s="1" t="b">
        <v>1</v>
      </c>
      <c r="L200" s="7">
        <v>569</v>
      </c>
      <c r="M200" s="7">
        <v>577</v>
      </c>
    </row>
    <row r="201" spans="1:13">
      <c r="A201" s="8">
        <v>2048</v>
      </c>
      <c r="B201" t="s">
        <v>20</v>
      </c>
      <c r="C201" t="s">
        <v>21</v>
      </c>
      <c r="D201" t="s">
        <v>22</v>
      </c>
      <c r="E201" s="18">
        <v>44</v>
      </c>
      <c r="F201" s="19">
        <f t="shared" si="6"/>
        <v>51</v>
      </c>
      <c r="G201" s="19">
        <f t="shared" si="7"/>
        <v>620</v>
      </c>
      <c r="H201" t="s">
        <v>15</v>
      </c>
      <c r="I201">
        <v>46322.797685185185</v>
      </c>
      <c r="J201" s="1" t="b">
        <v>1</v>
      </c>
      <c r="K201" s="1" t="b">
        <v>1</v>
      </c>
      <c r="L201" s="7">
        <v>8</v>
      </c>
      <c r="M201" s="7">
        <v>577</v>
      </c>
    </row>
    <row r="202" spans="1:13">
      <c r="A202" s="8">
        <v>2048</v>
      </c>
      <c r="B202" t="s">
        <v>20</v>
      </c>
      <c r="C202" t="s">
        <v>21</v>
      </c>
      <c r="D202" t="s">
        <v>23</v>
      </c>
      <c r="E202" s="18">
        <v>0</v>
      </c>
      <c r="F202" s="19">
        <f t="shared" si="6"/>
        <v>51</v>
      </c>
      <c r="G202" s="19">
        <f t="shared" si="7"/>
        <v>620</v>
      </c>
      <c r="H202" t="s">
        <v>15</v>
      </c>
      <c r="I202">
        <v>46322.797685185185</v>
      </c>
      <c r="J202" s="1" t="b">
        <v>1</v>
      </c>
      <c r="K202" s="1" t="b">
        <v>1</v>
      </c>
      <c r="L202" s="7">
        <v>8</v>
      </c>
      <c r="M202" s="7">
        <v>577</v>
      </c>
    </row>
    <row r="203" spans="1:13">
      <c r="A203" s="8">
        <v>2048</v>
      </c>
      <c r="B203" t="s">
        <v>20</v>
      </c>
      <c r="C203" t="s">
        <v>21</v>
      </c>
      <c r="D203" t="s">
        <v>24</v>
      </c>
      <c r="E203" s="18">
        <v>7</v>
      </c>
      <c r="F203" s="19">
        <f t="shared" si="6"/>
        <v>51</v>
      </c>
      <c r="G203" s="19">
        <f t="shared" si="7"/>
        <v>620</v>
      </c>
      <c r="H203" t="s">
        <v>15</v>
      </c>
      <c r="I203">
        <v>46322.797685185185</v>
      </c>
      <c r="J203" s="1" t="b">
        <v>1</v>
      </c>
      <c r="K203" s="1" t="b">
        <v>1</v>
      </c>
      <c r="L203" s="7">
        <v>8</v>
      </c>
      <c r="M203" s="7">
        <v>577</v>
      </c>
    </row>
    <row r="204" spans="1:13">
      <c r="A204" s="8">
        <v>2048</v>
      </c>
      <c r="B204" t="s">
        <v>25</v>
      </c>
      <c r="C204" t="s">
        <v>26</v>
      </c>
      <c r="D204" t="s">
        <v>26</v>
      </c>
      <c r="E204" s="18">
        <v>0</v>
      </c>
      <c r="F204" s="19">
        <f t="shared" si="6"/>
        <v>0</v>
      </c>
      <c r="G204" s="19">
        <f t="shared" si="7"/>
        <v>620</v>
      </c>
      <c r="H204" t="s">
        <v>15</v>
      </c>
      <c r="I204">
        <v>46322.797685185185</v>
      </c>
      <c r="J204" s="1" t="b">
        <v>1</v>
      </c>
      <c r="K204" s="1" t="b">
        <v>1</v>
      </c>
      <c r="L204" s="7">
        <v>0</v>
      </c>
      <c r="M204" s="7">
        <v>577</v>
      </c>
    </row>
    <row r="205" spans="1:13">
      <c r="A205" s="8">
        <v>2048</v>
      </c>
      <c r="B205" t="s">
        <v>27</v>
      </c>
      <c r="C205" t="s">
        <v>28</v>
      </c>
      <c r="D205" t="s">
        <v>29</v>
      </c>
      <c r="E205" s="18">
        <v>0</v>
      </c>
      <c r="F205" s="19">
        <f t="shared" si="6"/>
        <v>0</v>
      </c>
      <c r="G205" s="19">
        <f t="shared" si="7"/>
        <v>620</v>
      </c>
      <c r="H205" t="s">
        <v>15</v>
      </c>
      <c r="I205">
        <v>46322.797685185185</v>
      </c>
      <c r="J205" s="1" t="b">
        <v>1</v>
      </c>
      <c r="K205" s="1" t="b">
        <v>1</v>
      </c>
      <c r="L205" s="7">
        <v>0</v>
      </c>
      <c r="M205" s="7">
        <v>577</v>
      </c>
    </row>
    <row r="206" spans="1:13">
      <c r="A206" s="8">
        <v>2049</v>
      </c>
      <c r="B206" t="s">
        <v>13</v>
      </c>
      <c r="C206" t="s">
        <v>14</v>
      </c>
      <c r="D206" t="s">
        <v>14</v>
      </c>
      <c r="E206" s="18">
        <v>0</v>
      </c>
      <c r="F206" s="19">
        <f t="shared" si="6"/>
        <v>0</v>
      </c>
      <c r="G206" s="19">
        <f t="shared" si="7"/>
        <v>177</v>
      </c>
      <c r="H206" t="s">
        <v>15</v>
      </c>
      <c r="I206">
        <v>46322.797685185185</v>
      </c>
      <c r="J206" s="1" t="b">
        <v>1</v>
      </c>
      <c r="K206" s="1" t="b">
        <v>1</v>
      </c>
      <c r="L206" s="7">
        <v>0</v>
      </c>
      <c r="M206" s="7">
        <v>141</v>
      </c>
    </row>
    <row r="207" spans="1:13">
      <c r="A207" s="8">
        <v>2049</v>
      </c>
      <c r="B207" t="s">
        <v>16</v>
      </c>
      <c r="C207" t="s">
        <v>17</v>
      </c>
      <c r="D207" t="s">
        <v>18</v>
      </c>
      <c r="E207" s="18">
        <v>0</v>
      </c>
      <c r="F207" s="19">
        <f t="shared" si="6"/>
        <v>133</v>
      </c>
      <c r="G207" s="19">
        <f t="shared" si="7"/>
        <v>177</v>
      </c>
      <c r="H207" t="s">
        <v>15</v>
      </c>
      <c r="I207">
        <v>46322.797685185185</v>
      </c>
      <c r="J207" s="1" t="b">
        <v>1</v>
      </c>
      <c r="K207" s="1" t="b">
        <v>1</v>
      </c>
      <c r="L207" s="7">
        <v>133</v>
      </c>
      <c r="M207" s="7">
        <v>141</v>
      </c>
    </row>
    <row r="208" spans="1:13">
      <c r="A208" s="8">
        <v>2049</v>
      </c>
      <c r="B208" t="s">
        <v>16</v>
      </c>
      <c r="C208" t="s">
        <v>17</v>
      </c>
      <c r="D208" t="s">
        <v>19</v>
      </c>
      <c r="E208" s="18">
        <v>133</v>
      </c>
      <c r="F208" s="19">
        <f t="shared" si="6"/>
        <v>133</v>
      </c>
      <c r="G208" s="19">
        <f t="shared" si="7"/>
        <v>177</v>
      </c>
      <c r="H208" t="s">
        <v>15</v>
      </c>
      <c r="I208">
        <v>46322.797685185185</v>
      </c>
      <c r="J208" s="1" t="b">
        <v>1</v>
      </c>
      <c r="K208" s="1" t="b">
        <v>1</v>
      </c>
      <c r="L208" s="7">
        <v>133</v>
      </c>
      <c r="M208" s="7">
        <v>141</v>
      </c>
    </row>
    <row r="209" spans="1:13">
      <c r="A209" s="8">
        <v>2049</v>
      </c>
      <c r="B209" t="s">
        <v>20</v>
      </c>
      <c r="C209" t="s">
        <v>21</v>
      </c>
      <c r="D209" t="s">
        <v>22</v>
      </c>
      <c r="E209" s="18">
        <v>37</v>
      </c>
      <c r="F209" s="19">
        <f t="shared" si="6"/>
        <v>44</v>
      </c>
      <c r="G209" s="19">
        <f t="shared" si="7"/>
        <v>177</v>
      </c>
      <c r="H209" t="s">
        <v>15</v>
      </c>
      <c r="I209">
        <v>46322.797685185185</v>
      </c>
      <c r="J209" s="1" t="b">
        <v>1</v>
      </c>
      <c r="K209" s="1" t="b">
        <v>1</v>
      </c>
      <c r="L209" s="7">
        <v>8</v>
      </c>
      <c r="M209" s="7">
        <v>141</v>
      </c>
    </row>
    <row r="210" spans="1:13">
      <c r="A210" s="8">
        <v>2049</v>
      </c>
      <c r="B210" t="s">
        <v>20</v>
      </c>
      <c r="C210" t="s">
        <v>21</v>
      </c>
      <c r="D210" t="s">
        <v>23</v>
      </c>
      <c r="E210" s="18">
        <v>0</v>
      </c>
      <c r="F210" s="19">
        <f t="shared" si="6"/>
        <v>44</v>
      </c>
      <c r="G210" s="19">
        <f t="shared" si="7"/>
        <v>177</v>
      </c>
      <c r="H210" t="s">
        <v>15</v>
      </c>
      <c r="I210">
        <v>46322.797685185185</v>
      </c>
      <c r="J210" s="1" t="b">
        <v>1</v>
      </c>
      <c r="K210" s="1" t="b">
        <v>1</v>
      </c>
      <c r="L210" s="7">
        <v>8</v>
      </c>
      <c r="M210" s="7">
        <v>141</v>
      </c>
    </row>
    <row r="211" spans="1:13">
      <c r="A211" s="8">
        <v>2049</v>
      </c>
      <c r="B211" t="s">
        <v>20</v>
      </c>
      <c r="C211" t="s">
        <v>21</v>
      </c>
      <c r="D211" t="s">
        <v>24</v>
      </c>
      <c r="E211" s="18">
        <v>7</v>
      </c>
      <c r="F211" s="19">
        <f t="shared" si="6"/>
        <v>44</v>
      </c>
      <c r="G211" s="19">
        <f t="shared" si="7"/>
        <v>177</v>
      </c>
      <c r="H211" t="s">
        <v>15</v>
      </c>
      <c r="I211">
        <v>46322.797685185185</v>
      </c>
      <c r="J211" s="1" t="b">
        <v>1</v>
      </c>
      <c r="K211" s="1" t="b">
        <v>1</v>
      </c>
      <c r="L211" s="7">
        <v>8</v>
      </c>
      <c r="M211" s="7">
        <v>141</v>
      </c>
    </row>
    <row r="212" spans="1:13">
      <c r="A212" s="8">
        <v>2049</v>
      </c>
      <c r="B212" t="s">
        <v>25</v>
      </c>
      <c r="C212" t="s">
        <v>26</v>
      </c>
      <c r="D212" t="s">
        <v>26</v>
      </c>
      <c r="E212" s="18">
        <v>0</v>
      </c>
      <c r="F212" s="19">
        <f t="shared" si="6"/>
        <v>0</v>
      </c>
      <c r="G212" s="19">
        <f t="shared" si="7"/>
        <v>177</v>
      </c>
      <c r="H212" t="s">
        <v>15</v>
      </c>
      <c r="I212">
        <v>46322.797685185185</v>
      </c>
      <c r="J212" s="1" t="b">
        <v>1</v>
      </c>
      <c r="K212" s="1" t="b">
        <v>1</v>
      </c>
      <c r="L212" s="7">
        <v>0</v>
      </c>
      <c r="M212" s="7">
        <v>141</v>
      </c>
    </row>
    <row r="213" spans="1:13">
      <c r="A213" s="8">
        <v>2049</v>
      </c>
      <c r="B213" t="s">
        <v>27</v>
      </c>
      <c r="C213" t="s">
        <v>28</v>
      </c>
      <c r="D213" t="s">
        <v>29</v>
      </c>
      <c r="E213" s="18">
        <v>0</v>
      </c>
      <c r="F213" s="19">
        <f t="shared" si="6"/>
        <v>0</v>
      </c>
      <c r="G213" s="19">
        <f t="shared" si="7"/>
        <v>177</v>
      </c>
      <c r="H213" t="s">
        <v>15</v>
      </c>
      <c r="I213">
        <v>46322.797685185185</v>
      </c>
      <c r="J213" s="1" t="b">
        <v>1</v>
      </c>
      <c r="K213" s="1" t="b">
        <v>1</v>
      </c>
      <c r="L213" s="7">
        <v>0</v>
      </c>
      <c r="M213" s="7">
        <v>141</v>
      </c>
    </row>
    <row r="214" spans="1:13">
      <c r="A214" s="8">
        <v>2050</v>
      </c>
      <c r="B214" t="s">
        <v>13</v>
      </c>
      <c r="C214" t="s">
        <v>14</v>
      </c>
      <c r="D214" t="s">
        <v>14</v>
      </c>
      <c r="E214" s="18">
        <v>0</v>
      </c>
      <c r="F214" s="19">
        <f t="shared" si="6"/>
        <v>0</v>
      </c>
      <c r="G214" s="19">
        <f t="shared" si="7"/>
        <v>150</v>
      </c>
      <c r="H214" t="s">
        <v>15</v>
      </c>
      <c r="I214">
        <v>46322.797685185185</v>
      </c>
      <c r="J214" s="1" t="b">
        <v>1</v>
      </c>
      <c r="K214" s="1" t="b">
        <v>1</v>
      </c>
      <c r="L214" s="7">
        <v>0</v>
      </c>
      <c r="M214" s="7">
        <v>141</v>
      </c>
    </row>
    <row r="215" spans="1:13">
      <c r="A215" s="8">
        <v>2050</v>
      </c>
      <c r="B215" t="s">
        <v>16</v>
      </c>
      <c r="C215" t="s">
        <v>17</v>
      </c>
      <c r="D215" t="s">
        <v>18</v>
      </c>
      <c r="E215" s="18">
        <v>0</v>
      </c>
      <c r="F215" s="19">
        <f t="shared" si="6"/>
        <v>133</v>
      </c>
      <c r="G215" s="19">
        <f t="shared" si="7"/>
        <v>150</v>
      </c>
      <c r="H215" t="s">
        <v>15</v>
      </c>
      <c r="I215">
        <v>46322.797685185185</v>
      </c>
      <c r="J215" s="1" t="b">
        <v>1</v>
      </c>
      <c r="K215" s="1" t="b">
        <v>1</v>
      </c>
      <c r="L215" s="7">
        <v>133</v>
      </c>
      <c r="M215" s="7">
        <v>141</v>
      </c>
    </row>
    <row r="216" spans="1:13">
      <c r="A216" s="8">
        <v>2050</v>
      </c>
      <c r="B216" t="s">
        <v>16</v>
      </c>
      <c r="C216" t="s">
        <v>17</v>
      </c>
      <c r="D216" t="s">
        <v>19</v>
      </c>
      <c r="E216" s="18">
        <v>133</v>
      </c>
      <c r="F216" s="19">
        <f t="shared" si="6"/>
        <v>133</v>
      </c>
      <c r="G216" s="19">
        <f t="shared" si="7"/>
        <v>150</v>
      </c>
      <c r="H216" t="s">
        <v>15</v>
      </c>
      <c r="I216">
        <v>46322.797685185185</v>
      </c>
      <c r="J216" s="1" t="b">
        <v>1</v>
      </c>
      <c r="K216" s="1" t="b">
        <v>1</v>
      </c>
      <c r="L216" s="7">
        <v>133</v>
      </c>
      <c r="M216" s="7">
        <v>141</v>
      </c>
    </row>
    <row r="217" spans="1:13">
      <c r="A217" s="8">
        <v>2050</v>
      </c>
      <c r="B217" t="s">
        <v>20</v>
      </c>
      <c r="C217" t="s">
        <v>21</v>
      </c>
      <c r="D217" t="s">
        <v>22</v>
      </c>
      <c r="E217" s="18">
        <v>10</v>
      </c>
      <c r="F217" s="19">
        <f t="shared" si="6"/>
        <v>17</v>
      </c>
      <c r="G217" s="19">
        <f t="shared" si="7"/>
        <v>150</v>
      </c>
      <c r="H217" t="s">
        <v>15</v>
      </c>
      <c r="I217">
        <v>46322.797685185185</v>
      </c>
      <c r="J217" s="1" t="b">
        <v>1</v>
      </c>
      <c r="K217" s="1" t="b">
        <v>1</v>
      </c>
      <c r="L217" s="7">
        <v>8</v>
      </c>
      <c r="M217" s="7">
        <v>141</v>
      </c>
    </row>
    <row r="218" spans="1:13">
      <c r="A218" s="8">
        <v>2050</v>
      </c>
      <c r="B218" t="s">
        <v>20</v>
      </c>
      <c r="C218" t="s">
        <v>21</v>
      </c>
      <c r="D218" t="s">
        <v>23</v>
      </c>
      <c r="E218" s="18">
        <v>0</v>
      </c>
      <c r="F218" s="19">
        <f t="shared" si="6"/>
        <v>17</v>
      </c>
      <c r="G218" s="19">
        <f t="shared" si="7"/>
        <v>150</v>
      </c>
      <c r="H218" t="s">
        <v>15</v>
      </c>
      <c r="I218">
        <v>46322.797685185185</v>
      </c>
      <c r="J218" s="1" t="b">
        <v>1</v>
      </c>
      <c r="K218" s="1" t="b">
        <v>1</v>
      </c>
      <c r="L218" s="7">
        <v>8</v>
      </c>
      <c r="M218" s="7">
        <v>141</v>
      </c>
    </row>
    <row r="219" spans="1:13">
      <c r="A219" s="8">
        <v>2050</v>
      </c>
      <c r="B219" t="s">
        <v>20</v>
      </c>
      <c r="C219" t="s">
        <v>21</v>
      </c>
      <c r="D219" t="s">
        <v>24</v>
      </c>
      <c r="E219" s="18">
        <v>7</v>
      </c>
      <c r="F219" s="19">
        <f t="shared" si="6"/>
        <v>17</v>
      </c>
      <c r="G219" s="19">
        <f t="shared" si="7"/>
        <v>150</v>
      </c>
      <c r="H219" t="s">
        <v>15</v>
      </c>
      <c r="I219">
        <v>46322.797685185185</v>
      </c>
      <c r="J219" s="1" t="b">
        <v>1</v>
      </c>
      <c r="K219" s="1" t="b">
        <v>1</v>
      </c>
      <c r="L219" s="7">
        <v>8</v>
      </c>
      <c r="M219" s="7">
        <v>141</v>
      </c>
    </row>
    <row r="220" spans="1:13">
      <c r="A220" s="8">
        <v>2050</v>
      </c>
      <c r="B220" t="s">
        <v>25</v>
      </c>
      <c r="C220" t="s">
        <v>26</v>
      </c>
      <c r="D220" t="s">
        <v>26</v>
      </c>
      <c r="E220" s="18">
        <v>0</v>
      </c>
      <c r="F220" s="19">
        <f t="shared" si="6"/>
        <v>0</v>
      </c>
      <c r="G220" s="19">
        <f t="shared" si="7"/>
        <v>150</v>
      </c>
      <c r="H220" t="s">
        <v>15</v>
      </c>
      <c r="I220">
        <v>46322.797685185185</v>
      </c>
      <c r="J220" s="1" t="b">
        <v>1</v>
      </c>
      <c r="K220" s="1" t="b">
        <v>1</v>
      </c>
      <c r="L220" s="7">
        <v>0</v>
      </c>
      <c r="M220" s="7">
        <v>141</v>
      </c>
    </row>
    <row r="221" spans="1:13">
      <c r="A221" s="8">
        <v>2050</v>
      </c>
      <c r="B221" t="s">
        <v>27</v>
      </c>
      <c r="C221" t="s">
        <v>28</v>
      </c>
      <c r="D221" t="s">
        <v>29</v>
      </c>
      <c r="E221" s="18">
        <v>0</v>
      </c>
      <c r="F221" s="19">
        <f t="shared" si="6"/>
        <v>0</v>
      </c>
      <c r="G221" s="19">
        <f t="shared" si="7"/>
        <v>150</v>
      </c>
      <c r="H221" t="s">
        <v>15</v>
      </c>
      <c r="I221">
        <v>46322.797685185185</v>
      </c>
      <c r="J221" s="1" t="b">
        <v>1</v>
      </c>
      <c r="K221" s="1" t="b">
        <v>1</v>
      </c>
      <c r="L221" s="7">
        <v>0</v>
      </c>
      <c r="M221" s="7">
        <v>141</v>
      </c>
    </row>
    <row r="222" spans="1:13">
      <c r="A222" s="8">
        <v>2051</v>
      </c>
      <c r="B222" t="s">
        <v>13</v>
      </c>
      <c r="C222" t="s">
        <v>14</v>
      </c>
      <c r="D222" t="s">
        <v>14</v>
      </c>
      <c r="E222" s="18">
        <v>0</v>
      </c>
      <c r="F222" s="19">
        <f t="shared" si="6"/>
        <v>0</v>
      </c>
      <c r="G222" s="19">
        <f t="shared" si="7"/>
        <v>141</v>
      </c>
      <c r="H222" t="s">
        <v>15</v>
      </c>
      <c r="I222">
        <v>46322.797685185185</v>
      </c>
      <c r="J222" s="1" t="b">
        <v>1</v>
      </c>
      <c r="K222" s="1" t="b">
        <v>1</v>
      </c>
      <c r="L222" s="7">
        <v>0</v>
      </c>
      <c r="M222" s="7">
        <v>141</v>
      </c>
    </row>
    <row r="223" spans="1:13">
      <c r="A223" s="8">
        <v>2051</v>
      </c>
      <c r="B223" t="s">
        <v>16</v>
      </c>
      <c r="C223" t="s">
        <v>17</v>
      </c>
      <c r="D223" t="s">
        <v>18</v>
      </c>
      <c r="E223" s="18">
        <v>0</v>
      </c>
      <c r="F223" s="19">
        <f t="shared" si="6"/>
        <v>133</v>
      </c>
      <c r="G223" s="19">
        <f t="shared" si="7"/>
        <v>141</v>
      </c>
      <c r="H223" t="s">
        <v>15</v>
      </c>
      <c r="I223">
        <v>46322.797685185185</v>
      </c>
      <c r="J223" s="1" t="b">
        <v>1</v>
      </c>
      <c r="K223" s="1" t="b">
        <v>1</v>
      </c>
      <c r="L223" s="7">
        <v>133</v>
      </c>
      <c r="M223" s="7">
        <v>141</v>
      </c>
    </row>
    <row r="224" spans="1:13">
      <c r="A224" s="8">
        <v>2051</v>
      </c>
      <c r="B224" t="s">
        <v>16</v>
      </c>
      <c r="C224" t="s">
        <v>17</v>
      </c>
      <c r="D224" t="s">
        <v>19</v>
      </c>
      <c r="E224" s="18">
        <v>133</v>
      </c>
      <c r="F224" s="19">
        <f t="shared" si="6"/>
        <v>133</v>
      </c>
      <c r="G224" s="19">
        <f t="shared" si="7"/>
        <v>141</v>
      </c>
      <c r="H224" t="s">
        <v>15</v>
      </c>
      <c r="I224">
        <v>46322.797685185185</v>
      </c>
      <c r="J224" s="1" t="b">
        <v>1</v>
      </c>
      <c r="K224" s="1" t="b">
        <v>1</v>
      </c>
      <c r="L224" s="7">
        <v>133</v>
      </c>
      <c r="M224" s="7">
        <v>141</v>
      </c>
    </row>
    <row r="225" spans="1:13">
      <c r="A225" s="8">
        <v>2051</v>
      </c>
      <c r="B225" t="s">
        <v>20</v>
      </c>
      <c r="C225" t="s">
        <v>21</v>
      </c>
      <c r="D225" t="s">
        <v>22</v>
      </c>
      <c r="E225" s="18">
        <v>1</v>
      </c>
      <c r="F225" s="19">
        <f t="shared" si="6"/>
        <v>8</v>
      </c>
      <c r="G225" s="19">
        <f t="shared" si="7"/>
        <v>141</v>
      </c>
      <c r="H225" t="s">
        <v>15</v>
      </c>
      <c r="I225">
        <v>46322.797685185185</v>
      </c>
      <c r="J225" s="1" t="b">
        <v>1</v>
      </c>
      <c r="K225" s="1" t="b">
        <v>1</v>
      </c>
      <c r="L225" s="7">
        <v>8</v>
      </c>
      <c r="M225" s="7">
        <v>141</v>
      </c>
    </row>
    <row r="226" spans="1:13">
      <c r="A226" s="8">
        <v>2051</v>
      </c>
      <c r="B226" t="s">
        <v>20</v>
      </c>
      <c r="C226" t="s">
        <v>21</v>
      </c>
      <c r="D226" t="s">
        <v>23</v>
      </c>
      <c r="E226" s="18">
        <v>0</v>
      </c>
      <c r="F226" s="19">
        <f t="shared" si="6"/>
        <v>8</v>
      </c>
      <c r="G226" s="19">
        <f t="shared" si="7"/>
        <v>141</v>
      </c>
      <c r="H226" t="s">
        <v>15</v>
      </c>
      <c r="I226">
        <v>46322.797685185185</v>
      </c>
      <c r="J226" s="1" t="b">
        <v>1</v>
      </c>
      <c r="K226" s="1" t="b">
        <v>1</v>
      </c>
      <c r="L226" s="7">
        <v>8</v>
      </c>
      <c r="M226" s="7">
        <v>141</v>
      </c>
    </row>
    <row r="227" spans="1:13">
      <c r="A227" s="8">
        <v>2051</v>
      </c>
      <c r="B227" t="s">
        <v>20</v>
      </c>
      <c r="C227" t="s">
        <v>21</v>
      </c>
      <c r="D227" t="s">
        <v>24</v>
      </c>
      <c r="E227" s="18">
        <v>7</v>
      </c>
      <c r="F227" s="19">
        <f t="shared" si="6"/>
        <v>8</v>
      </c>
      <c r="G227" s="19">
        <f t="shared" si="7"/>
        <v>141</v>
      </c>
      <c r="H227" t="s">
        <v>15</v>
      </c>
      <c r="I227">
        <v>46322.797685185185</v>
      </c>
      <c r="J227" s="1" t="b">
        <v>1</v>
      </c>
      <c r="K227" s="1" t="b">
        <v>1</v>
      </c>
      <c r="L227" s="7">
        <v>8</v>
      </c>
      <c r="M227" s="7">
        <v>141</v>
      </c>
    </row>
    <row r="228" spans="1:13">
      <c r="A228" s="8">
        <v>2051</v>
      </c>
      <c r="B228" t="s">
        <v>25</v>
      </c>
      <c r="C228" t="s">
        <v>26</v>
      </c>
      <c r="D228" t="s">
        <v>26</v>
      </c>
      <c r="E228" s="18">
        <v>0</v>
      </c>
      <c r="F228" s="19">
        <f t="shared" si="6"/>
        <v>0</v>
      </c>
      <c r="G228" s="19">
        <f t="shared" si="7"/>
        <v>141</v>
      </c>
      <c r="H228" t="s">
        <v>15</v>
      </c>
      <c r="I228">
        <v>46322.797685185185</v>
      </c>
      <c r="J228" s="1" t="b">
        <v>1</v>
      </c>
      <c r="K228" s="1" t="b">
        <v>1</v>
      </c>
      <c r="L228" s="7">
        <v>0</v>
      </c>
      <c r="M228" s="7">
        <v>141</v>
      </c>
    </row>
    <row r="229" spans="1:13">
      <c r="A229" s="8">
        <v>2051</v>
      </c>
      <c r="B229" t="s">
        <v>27</v>
      </c>
      <c r="C229" t="s">
        <v>28</v>
      </c>
      <c r="D229" t="s">
        <v>29</v>
      </c>
      <c r="E229" s="18">
        <v>0</v>
      </c>
      <c r="F229" s="19">
        <f t="shared" si="6"/>
        <v>0</v>
      </c>
      <c r="G229" s="19">
        <f t="shared" si="7"/>
        <v>141</v>
      </c>
      <c r="H229" t="s">
        <v>15</v>
      </c>
      <c r="I229">
        <v>46322.797685185185</v>
      </c>
      <c r="J229" s="1" t="b">
        <v>1</v>
      </c>
      <c r="K229" s="1" t="b">
        <v>1</v>
      </c>
      <c r="L229" s="7">
        <v>0</v>
      </c>
      <c r="M229" s="7">
        <v>141</v>
      </c>
    </row>
    <row r="230" spans="1:13">
      <c r="A230" s="8">
        <v>2052</v>
      </c>
      <c r="B230" t="s">
        <v>13</v>
      </c>
      <c r="C230" t="s">
        <v>14</v>
      </c>
      <c r="D230" t="s">
        <v>14</v>
      </c>
      <c r="E230" s="18">
        <v>0</v>
      </c>
      <c r="F230" s="19">
        <f t="shared" si="6"/>
        <v>0</v>
      </c>
      <c r="G230" s="19">
        <f t="shared" si="7"/>
        <v>141</v>
      </c>
      <c r="H230" t="s">
        <v>15</v>
      </c>
      <c r="I230">
        <v>46322.797685185185</v>
      </c>
      <c r="J230" s="1" t="b">
        <v>1</v>
      </c>
      <c r="K230" s="1" t="b">
        <v>1</v>
      </c>
      <c r="L230" s="7">
        <v>0</v>
      </c>
      <c r="M230" s="7">
        <v>141</v>
      </c>
    </row>
    <row r="231" spans="1:13">
      <c r="A231" s="8">
        <v>2052</v>
      </c>
      <c r="B231" t="s">
        <v>16</v>
      </c>
      <c r="C231" t="s">
        <v>17</v>
      </c>
      <c r="D231" t="s">
        <v>18</v>
      </c>
      <c r="E231" s="18">
        <v>0</v>
      </c>
      <c r="F231" s="19">
        <f t="shared" si="6"/>
        <v>133</v>
      </c>
      <c r="G231" s="19">
        <f t="shared" si="7"/>
        <v>141</v>
      </c>
      <c r="H231" t="s">
        <v>15</v>
      </c>
      <c r="I231">
        <v>46322.797685185185</v>
      </c>
      <c r="J231" s="1" t="b">
        <v>1</v>
      </c>
      <c r="K231" s="1" t="b">
        <v>1</v>
      </c>
      <c r="L231" s="7">
        <v>133</v>
      </c>
      <c r="M231" s="7">
        <v>141</v>
      </c>
    </row>
    <row r="232" spans="1:13">
      <c r="A232" s="8">
        <v>2052</v>
      </c>
      <c r="B232" t="s">
        <v>16</v>
      </c>
      <c r="C232" t="s">
        <v>17</v>
      </c>
      <c r="D232" t="s">
        <v>19</v>
      </c>
      <c r="E232" s="18">
        <v>133</v>
      </c>
      <c r="F232" s="19">
        <f t="shared" si="6"/>
        <v>133</v>
      </c>
      <c r="G232" s="19">
        <f t="shared" si="7"/>
        <v>141</v>
      </c>
      <c r="H232" t="s">
        <v>15</v>
      </c>
      <c r="I232">
        <v>46322.797685185185</v>
      </c>
      <c r="J232" s="1" t="b">
        <v>1</v>
      </c>
      <c r="K232" s="1" t="b">
        <v>1</v>
      </c>
      <c r="L232" s="7">
        <v>133</v>
      </c>
      <c r="M232" s="7">
        <v>141</v>
      </c>
    </row>
    <row r="233" spans="1:13">
      <c r="A233" s="8">
        <v>2052</v>
      </c>
      <c r="B233" t="s">
        <v>20</v>
      </c>
      <c r="C233" t="s">
        <v>21</v>
      </c>
      <c r="D233" t="s">
        <v>22</v>
      </c>
      <c r="E233" s="18">
        <v>1</v>
      </c>
      <c r="F233" s="19">
        <f t="shared" si="6"/>
        <v>8</v>
      </c>
      <c r="G233" s="19">
        <f t="shared" si="7"/>
        <v>141</v>
      </c>
      <c r="H233" t="s">
        <v>15</v>
      </c>
      <c r="I233">
        <v>46322.797685185185</v>
      </c>
      <c r="J233" s="1" t="b">
        <v>1</v>
      </c>
      <c r="K233" s="1" t="b">
        <v>1</v>
      </c>
      <c r="L233" s="7">
        <v>8</v>
      </c>
      <c r="M233" s="7">
        <v>141</v>
      </c>
    </row>
    <row r="234" spans="1:13">
      <c r="A234" s="8">
        <v>2052</v>
      </c>
      <c r="B234" t="s">
        <v>20</v>
      </c>
      <c r="C234" t="s">
        <v>21</v>
      </c>
      <c r="D234" t="s">
        <v>23</v>
      </c>
      <c r="E234" s="18">
        <v>0</v>
      </c>
      <c r="F234" s="19">
        <f t="shared" si="6"/>
        <v>8</v>
      </c>
      <c r="G234" s="19">
        <f t="shared" si="7"/>
        <v>141</v>
      </c>
      <c r="H234" t="s">
        <v>15</v>
      </c>
      <c r="I234">
        <v>46322.797685185185</v>
      </c>
      <c r="J234" s="1" t="b">
        <v>1</v>
      </c>
      <c r="K234" s="1" t="b">
        <v>1</v>
      </c>
      <c r="L234" s="7">
        <v>8</v>
      </c>
      <c r="M234" s="7">
        <v>141</v>
      </c>
    </row>
    <row r="235" spans="1:13">
      <c r="A235" s="8">
        <v>2052</v>
      </c>
      <c r="B235" t="s">
        <v>20</v>
      </c>
      <c r="C235" t="s">
        <v>21</v>
      </c>
      <c r="D235" t="s">
        <v>24</v>
      </c>
      <c r="E235" s="18">
        <v>7</v>
      </c>
      <c r="F235" s="19">
        <f t="shared" si="6"/>
        <v>8</v>
      </c>
      <c r="G235" s="19">
        <f t="shared" si="7"/>
        <v>141</v>
      </c>
      <c r="H235" t="s">
        <v>15</v>
      </c>
      <c r="I235">
        <v>46322.797685185185</v>
      </c>
      <c r="J235" s="1" t="b">
        <v>1</v>
      </c>
      <c r="K235" s="1" t="b">
        <v>1</v>
      </c>
      <c r="L235" s="7">
        <v>8</v>
      </c>
      <c r="M235" s="7">
        <v>141</v>
      </c>
    </row>
    <row r="236" spans="1:13">
      <c r="A236" s="8">
        <v>2052</v>
      </c>
      <c r="B236" t="s">
        <v>25</v>
      </c>
      <c r="C236" t="s">
        <v>26</v>
      </c>
      <c r="D236" t="s">
        <v>26</v>
      </c>
      <c r="E236" s="18">
        <v>0</v>
      </c>
      <c r="F236" s="19">
        <f t="shared" si="6"/>
        <v>0</v>
      </c>
      <c r="G236" s="19">
        <f t="shared" si="7"/>
        <v>141</v>
      </c>
      <c r="H236" t="s">
        <v>15</v>
      </c>
      <c r="I236">
        <v>46322.797685185185</v>
      </c>
      <c r="J236" s="1" t="b">
        <v>1</v>
      </c>
      <c r="K236" s="1" t="b">
        <v>1</v>
      </c>
      <c r="L236" s="7">
        <v>0</v>
      </c>
      <c r="M236" s="7">
        <v>141</v>
      </c>
    </row>
    <row r="237" spans="1:13">
      <c r="A237" s="8">
        <v>2052</v>
      </c>
      <c r="B237" t="s">
        <v>27</v>
      </c>
      <c r="C237" t="s">
        <v>28</v>
      </c>
      <c r="D237" t="s">
        <v>29</v>
      </c>
      <c r="E237" s="18">
        <v>0</v>
      </c>
      <c r="F237" s="19">
        <f t="shared" si="6"/>
        <v>0</v>
      </c>
      <c r="G237" s="19">
        <f t="shared" si="7"/>
        <v>141</v>
      </c>
      <c r="H237" t="s">
        <v>15</v>
      </c>
      <c r="I237">
        <v>46322.797685185185</v>
      </c>
      <c r="J237" s="1" t="b">
        <v>1</v>
      </c>
      <c r="K237" s="1" t="b">
        <v>1</v>
      </c>
      <c r="L237" s="7">
        <v>0</v>
      </c>
      <c r="M237" s="7">
        <v>141</v>
      </c>
    </row>
    <row r="238" spans="1:13">
      <c r="A238" s="8">
        <v>2053</v>
      </c>
      <c r="B238" t="s">
        <v>13</v>
      </c>
      <c r="C238" t="s">
        <v>14</v>
      </c>
      <c r="D238" t="s">
        <v>14</v>
      </c>
      <c r="E238" s="18">
        <v>0</v>
      </c>
      <c r="F238" s="19">
        <f t="shared" si="6"/>
        <v>0</v>
      </c>
      <c r="G238" s="19">
        <f t="shared" si="7"/>
        <v>192</v>
      </c>
      <c r="H238" t="s">
        <v>15</v>
      </c>
      <c r="I238">
        <v>46322.797685185185</v>
      </c>
      <c r="J238" s="1" t="b">
        <v>1</v>
      </c>
      <c r="K238" s="1" t="b">
        <v>1</v>
      </c>
      <c r="L238" s="7">
        <v>0</v>
      </c>
      <c r="M238" s="7">
        <v>141</v>
      </c>
    </row>
    <row r="239" spans="1:13">
      <c r="A239" s="8">
        <v>2053</v>
      </c>
      <c r="B239" t="s">
        <v>16</v>
      </c>
      <c r="C239" t="s">
        <v>17</v>
      </c>
      <c r="D239" t="s">
        <v>18</v>
      </c>
      <c r="E239" s="18">
        <v>0</v>
      </c>
      <c r="F239" s="19">
        <f t="shared" si="6"/>
        <v>133</v>
      </c>
      <c r="G239" s="19">
        <f t="shared" si="7"/>
        <v>192</v>
      </c>
      <c r="H239" t="s">
        <v>15</v>
      </c>
      <c r="I239">
        <v>46322.797685185185</v>
      </c>
      <c r="J239" s="1" t="b">
        <v>1</v>
      </c>
      <c r="K239" s="1" t="b">
        <v>1</v>
      </c>
      <c r="L239" s="7">
        <v>133</v>
      </c>
      <c r="M239" s="7">
        <v>141</v>
      </c>
    </row>
    <row r="240" spans="1:13">
      <c r="A240" s="8">
        <v>2053</v>
      </c>
      <c r="B240" t="s">
        <v>16</v>
      </c>
      <c r="C240" t="s">
        <v>17</v>
      </c>
      <c r="D240" t="s">
        <v>19</v>
      </c>
      <c r="E240" s="18">
        <v>133</v>
      </c>
      <c r="F240" s="19">
        <f t="shared" si="6"/>
        <v>133</v>
      </c>
      <c r="G240" s="19">
        <f t="shared" si="7"/>
        <v>192</v>
      </c>
      <c r="H240" t="s">
        <v>15</v>
      </c>
      <c r="I240">
        <v>46322.797685185185</v>
      </c>
      <c r="J240" s="1" t="b">
        <v>1</v>
      </c>
      <c r="K240" s="1" t="b">
        <v>1</v>
      </c>
      <c r="L240" s="7">
        <v>133</v>
      </c>
      <c r="M240" s="7">
        <v>141</v>
      </c>
    </row>
    <row r="241" spans="1:13">
      <c r="A241" s="8">
        <v>2053</v>
      </c>
      <c r="B241" t="s">
        <v>20</v>
      </c>
      <c r="C241" t="s">
        <v>21</v>
      </c>
      <c r="D241" t="s">
        <v>22</v>
      </c>
      <c r="E241" s="18">
        <v>52</v>
      </c>
      <c r="F241" s="19">
        <f t="shared" si="6"/>
        <v>59</v>
      </c>
      <c r="G241" s="19">
        <f t="shared" si="7"/>
        <v>192</v>
      </c>
      <c r="H241" t="s">
        <v>15</v>
      </c>
      <c r="I241">
        <v>46322.797685185185</v>
      </c>
      <c r="J241" s="1" t="b">
        <v>1</v>
      </c>
      <c r="K241" s="1" t="b">
        <v>1</v>
      </c>
      <c r="L241" s="7">
        <v>8</v>
      </c>
      <c r="M241" s="7">
        <v>141</v>
      </c>
    </row>
    <row r="242" spans="1:13">
      <c r="A242" s="8">
        <v>2053</v>
      </c>
      <c r="B242" t="s">
        <v>20</v>
      </c>
      <c r="C242" t="s">
        <v>21</v>
      </c>
      <c r="D242" t="s">
        <v>23</v>
      </c>
      <c r="E242" s="18">
        <v>0</v>
      </c>
      <c r="F242" s="19">
        <f t="shared" si="6"/>
        <v>59</v>
      </c>
      <c r="G242" s="19">
        <f t="shared" si="7"/>
        <v>192</v>
      </c>
      <c r="H242" t="s">
        <v>15</v>
      </c>
      <c r="I242">
        <v>46322.797685185185</v>
      </c>
      <c r="J242" s="1" t="b">
        <v>1</v>
      </c>
      <c r="K242" s="1" t="b">
        <v>1</v>
      </c>
      <c r="L242" s="7">
        <v>8</v>
      </c>
      <c r="M242" s="7">
        <v>141</v>
      </c>
    </row>
    <row r="243" spans="1:13">
      <c r="A243" s="8">
        <v>2053</v>
      </c>
      <c r="B243" t="s">
        <v>20</v>
      </c>
      <c r="C243" t="s">
        <v>21</v>
      </c>
      <c r="D243" t="s">
        <v>24</v>
      </c>
      <c r="E243" s="18">
        <v>7</v>
      </c>
      <c r="F243" s="19">
        <f t="shared" si="6"/>
        <v>59</v>
      </c>
      <c r="G243" s="19">
        <f t="shared" si="7"/>
        <v>192</v>
      </c>
      <c r="H243" t="s">
        <v>15</v>
      </c>
      <c r="I243">
        <v>46322.797685185185</v>
      </c>
      <c r="J243" s="1" t="b">
        <v>1</v>
      </c>
      <c r="K243" s="1" t="b">
        <v>1</v>
      </c>
      <c r="L243" s="7">
        <v>8</v>
      </c>
      <c r="M243" s="7">
        <v>141</v>
      </c>
    </row>
    <row r="244" spans="1:13">
      <c r="A244" s="8">
        <v>2053</v>
      </c>
      <c r="B244" t="s">
        <v>25</v>
      </c>
      <c r="C244" t="s">
        <v>26</v>
      </c>
      <c r="D244" t="s">
        <v>26</v>
      </c>
      <c r="E244" s="18">
        <v>0</v>
      </c>
      <c r="F244" s="19">
        <f t="shared" si="6"/>
        <v>0</v>
      </c>
      <c r="G244" s="19">
        <f t="shared" si="7"/>
        <v>192</v>
      </c>
      <c r="H244" t="s">
        <v>15</v>
      </c>
      <c r="I244">
        <v>46322.797685185185</v>
      </c>
      <c r="J244" s="1" t="b">
        <v>1</v>
      </c>
      <c r="K244" s="1" t="b">
        <v>1</v>
      </c>
      <c r="L244" s="7">
        <v>0</v>
      </c>
      <c r="M244" s="7">
        <v>141</v>
      </c>
    </row>
    <row r="245" spans="1:13">
      <c r="A245" s="8">
        <v>2053</v>
      </c>
      <c r="B245" t="s">
        <v>27</v>
      </c>
      <c r="C245" t="s">
        <v>28</v>
      </c>
      <c r="D245" t="s">
        <v>29</v>
      </c>
      <c r="E245" s="18">
        <v>0</v>
      </c>
      <c r="F245" s="19">
        <f t="shared" si="6"/>
        <v>0</v>
      </c>
      <c r="G245" s="19">
        <f t="shared" si="7"/>
        <v>192</v>
      </c>
      <c r="H245" t="s">
        <v>15</v>
      </c>
      <c r="I245">
        <v>46322.797685185185</v>
      </c>
      <c r="J245" s="1" t="b">
        <v>1</v>
      </c>
      <c r="K245" s="1" t="b">
        <v>1</v>
      </c>
      <c r="L245" s="7">
        <v>0</v>
      </c>
      <c r="M245" s="7">
        <v>141</v>
      </c>
    </row>
    <row r="246" spans="1:13">
      <c r="A246" s="8">
        <v>2054</v>
      </c>
      <c r="B246" t="s">
        <v>13</v>
      </c>
      <c r="C246" t="s">
        <v>14</v>
      </c>
      <c r="D246" t="s">
        <v>14</v>
      </c>
      <c r="E246" s="18">
        <v>0</v>
      </c>
      <c r="F246" s="19">
        <f t="shared" si="6"/>
        <v>0</v>
      </c>
      <c r="G246" s="19">
        <f t="shared" si="7"/>
        <v>192</v>
      </c>
      <c r="H246" t="s">
        <v>15</v>
      </c>
      <c r="I246">
        <v>46322.797685185185</v>
      </c>
      <c r="J246" s="1" t="b">
        <v>1</v>
      </c>
      <c r="K246" s="1" t="b">
        <v>1</v>
      </c>
      <c r="L246" s="7">
        <v>0</v>
      </c>
      <c r="M246" s="7">
        <v>141</v>
      </c>
    </row>
    <row r="247" spans="1:13">
      <c r="A247" s="8">
        <v>2054</v>
      </c>
      <c r="B247" t="s">
        <v>16</v>
      </c>
      <c r="C247" t="s">
        <v>17</v>
      </c>
      <c r="D247" t="s">
        <v>18</v>
      </c>
      <c r="E247" s="18">
        <v>0</v>
      </c>
      <c r="F247" s="19">
        <f t="shared" si="6"/>
        <v>133</v>
      </c>
      <c r="G247" s="19">
        <f t="shared" si="7"/>
        <v>192</v>
      </c>
      <c r="H247" t="s">
        <v>15</v>
      </c>
      <c r="I247">
        <v>46322.797685185185</v>
      </c>
      <c r="J247" s="1" t="b">
        <v>1</v>
      </c>
      <c r="K247" s="1" t="b">
        <v>1</v>
      </c>
      <c r="L247" s="7">
        <v>133</v>
      </c>
      <c r="M247" s="7">
        <v>141</v>
      </c>
    </row>
    <row r="248" spans="1:13">
      <c r="A248" s="8">
        <v>2054</v>
      </c>
      <c r="B248" t="s">
        <v>16</v>
      </c>
      <c r="C248" t="s">
        <v>17</v>
      </c>
      <c r="D248" t="s">
        <v>19</v>
      </c>
      <c r="E248" s="18">
        <v>133</v>
      </c>
      <c r="F248" s="19">
        <f t="shared" si="6"/>
        <v>133</v>
      </c>
      <c r="G248" s="19">
        <f t="shared" si="7"/>
        <v>192</v>
      </c>
      <c r="H248" t="s">
        <v>15</v>
      </c>
      <c r="I248">
        <v>46322.797685185185</v>
      </c>
      <c r="J248" s="1" t="b">
        <v>1</v>
      </c>
      <c r="K248" s="1" t="b">
        <v>1</v>
      </c>
      <c r="L248" s="7">
        <v>133</v>
      </c>
      <c r="M248" s="7">
        <v>141</v>
      </c>
    </row>
    <row r="249" spans="1:13">
      <c r="A249" s="8">
        <v>2054</v>
      </c>
      <c r="B249" t="s">
        <v>20</v>
      </c>
      <c r="C249" t="s">
        <v>21</v>
      </c>
      <c r="D249" t="s">
        <v>22</v>
      </c>
      <c r="E249" s="18">
        <v>52</v>
      </c>
      <c r="F249" s="19">
        <f t="shared" si="6"/>
        <v>59</v>
      </c>
      <c r="G249" s="19">
        <f t="shared" si="7"/>
        <v>192</v>
      </c>
      <c r="H249" t="s">
        <v>15</v>
      </c>
      <c r="I249">
        <v>46322.797685185185</v>
      </c>
      <c r="J249" s="1" t="b">
        <v>1</v>
      </c>
      <c r="K249" s="1" t="b">
        <v>1</v>
      </c>
      <c r="L249" s="7">
        <v>8</v>
      </c>
      <c r="M249" s="7">
        <v>141</v>
      </c>
    </row>
    <row r="250" spans="1:13">
      <c r="A250" s="8">
        <v>2054</v>
      </c>
      <c r="B250" t="s">
        <v>20</v>
      </c>
      <c r="C250" t="s">
        <v>21</v>
      </c>
      <c r="D250" t="s">
        <v>23</v>
      </c>
      <c r="E250" s="18">
        <v>0</v>
      </c>
      <c r="F250" s="19">
        <f t="shared" si="6"/>
        <v>59</v>
      </c>
      <c r="G250" s="19">
        <f t="shared" si="7"/>
        <v>192</v>
      </c>
      <c r="H250" t="s">
        <v>15</v>
      </c>
      <c r="I250">
        <v>46322.797685185185</v>
      </c>
      <c r="J250" s="1" t="b">
        <v>1</v>
      </c>
      <c r="K250" s="1" t="b">
        <v>1</v>
      </c>
      <c r="L250" s="7">
        <v>8</v>
      </c>
      <c r="M250" s="7">
        <v>141</v>
      </c>
    </row>
    <row r="251" spans="1:13">
      <c r="A251" s="8">
        <v>2054</v>
      </c>
      <c r="B251" t="s">
        <v>20</v>
      </c>
      <c r="C251" t="s">
        <v>21</v>
      </c>
      <c r="D251" t="s">
        <v>24</v>
      </c>
      <c r="E251" s="18">
        <v>7</v>
      </c>
      <c r="F251" s="19">
        <f t="shared" si="6"/>
        <v>59</v>
      </c>
      <c r="G251" s="19">
        <f t="shared" si="7"/>
        <v>192</v>
      </c>
      <c r="H251" t="s">
        <v>15</v>
      </c>
      <c r="I251">
        <v>46322.797685185185</v>
      </c>
      <c r="J251" s="1" t="b">
        <v>1</v>
      </c>
      <c r="K251" s="1" t="b">
        <v>1</v>
      </c>
      <c r="L251" s="7">
        <v>8</v>
      </c>
      <c r="M251" s="7">
        <v>141</v>
      </c>
    </row>
    <row r="252" spans="1:13">
      <c r="A252" s="8">
        <v>2054</v>
      </c>
      <c r="B252" t="s">
        <v>25</v>
      </c>
      <c r="C252" t="s">
        <v>26</v>
      </c>
      <c r="D252" t="s">
        <v>26</v>
      </c>
      <c r="E252" s="18">
        <v>0</v>
      </c>
      <c r="F252" s="19">
        <f t="shared" si="6"/>
        <v>0</v>
      </c>
      <c r="G252" s="19">
        <f t="shared" si="7"/>
        <v>192</v>
      </c>
      <c r="H252" t="s">
        <v>15</v>
      </c>
      <c r="I252">
        <v>46322.797685185185</v>
      </c>
      <c r="J252" s="1" t="b">
        <v>1</v>
      </c>
      <c r="K252" s="1" t="b">
        <v>1</v>
      </c>
      <c r="L252" s="7">
        <v>0</v>
      </c>
      <c r="M252" s="7">
        <v>141</v>
      </c>
    </row>
    <row r="253" spans="1:13">
      <c r="A253" s="8">
        <v>2054</v>
      </c>
      <c r="B253" t="s">
        <v>27</v>
      </c>
      <c r="C253" t="s">
        <v>28</v>
      </c>
      <c r="D253" t="s">
        <v>29</v>
      </c>
      <c r="E253" s="18">
        <v>0</v>
      </c>
      <c r="F253" s="19">
        <f t="shared" si="6"/>
        <v>0</v>
      </c>
      <c r="G253" s="19">
        <f t="shared" si="7"/>
        <v>192</v>
      </c>
      <c r="H253" t="s">
        <v>15</v>
      </c>
      <c r="I253">
        <v>46322.797685185185</v>
      </c>
      <c r="J253" s="1" t="b">
        <v>1</v>
      </c>
      <c r="K253" s="1" t="b">
        <v>1</v>
      </c>
      <c r="L253" s="7">
        <v>0</v>
      </c>
      <c r="M253" s="7">
        <v>141</v>
      </c>
    </row>
    <row r="254" spans="1:13">
      <c r="A254" s="8">
        <v>2055</v>
      </c>
      <c r="B254" t="s">
        <v>13</v>
      </c>
      <c r="C254" t="s">
        <v>14</v>
      </c>
      <c r="D254" t="s">
        <v>14</v>
      </c>
      <c r="E254" s="18">
        <v>0</v>
      </c>
      <c r="F254" s="19">
        <f t="shared" si="6"/>
        <v>0</v>
      </c>
      <c r="G254" s="19">
        <f t="shared" si="7"/>
        <v>191</v>
      </c>
      <c r="H254" t="s">
        <v>15</v>
      </c>
      <c r="I254">
        <v>46322.797685185185</v>
      </c>
      <c r="J254" s="1" t="b">
        <v>1</v>
      </c>
      <c r="K254" s="1" t="b">
        <v>1</v>
      </c>
      <c r="L254" s="7">
        <v>0</v>
      </c>
      <c r="M254" s="7">
        <v>140</v>
      </c>
    </row>
    <row r="255" spans="1:13">
      <c r="A255" s="8">
        <v>2055</v>
      </c>
      <c r="B255" t="s">
        <v>16</v>
      </c>
      <c r="C255" t="s">
        <v>17</v>
      </c>
      <c r="D255" t="s">
        <v>18</v>
      </c>
      <c r="E255" s="18">
        <v>0</v>
      </c>
      <c r="F255" s="19">
        <f t="shared" si="6"/>
        <v>133</v>
      </c>
      <c r="G255" s="19">
        <f t="shared" si="7"/>
        <v>191</v>
      </c>
      <c r="H255" t="s">
        <v>15</v>
      </c>
      <c r="I255">
        <v>46322.797685185185</v>
      </c>
      <c r="J255" s="1" t="b">
        <v>1</v>
      </c>
      <c r="K255" s="1" t="b">
        <v>1</v>
      </c>
      <c r="L255" s="7">
        <v>133</v>
      </c>
      <c r="M255" s="7">
        <v>140</v>
      </c>
    </row>
    <row r="256" spans="1:13">
      <c r="A256" s="8">
        <v>2055</v>
      </c>
      <c r="B256" t="s">
        <v>16</v>
      </c>
      <c r="C256" t="s">
        <v>17</v>
      </c>
      <c r="D256" t="s">
        <v>19</v>
      </c>
      <c r="E256" s="18">
        <v>133</v>
      </c>
      <c r="F256" s="19">
        <f t="shared" si="6"/>
        <v>133</v>
      </c>
      <c r="G256" s="19">
        <f t="shared" si="7"/>
        <v>191</v>
      </c>
      <c r="H256" t="s">
        <v>15</v>
      </c>
      <c r="I256">
        <v>46322.797685185185</v>
      </c>
      <c r="J256" s="1" t="b">
        <v>1</v>
      </c>
      <c r="K256" s="1" t="b">
        <v>1</v>
      </c>
      <c r="L256" s="7">
        <v>133</v>
      </c>
      <c r="M256" s="7">
        <v>140</v>
      </c>
    </row>
    <row r="257" spans="1:13">
      <c r="A257" s="8">
        <v>2055</v>
      </c>
      <c r="B257" t="s">
        <v>20</v>
      </c>
      <c r="C257" t="s">
        <v>21</v>
      </c>
      <c r="D257" t="s">
        <v>22</v>
      </c>
      <c r="E257" s="18">
        <v>51</v>
      </c>
      <c r="F257" s="19">
        <f t="shared" si="6"/>
        <v>58</v>
      </c>
      <c r="G257" s="19">
        <f t="shared" si="7"/>
        <v>191</v>
      </c>
      <c r="H257" t="s">
        <v>15</v>
      </c>
      <c r="I257">
        <v>46322.797685185185</v>
      </c>
      <c r="J257" s="1" t="b">
        <v>1</v>
      </c>
      <c r="K257" s="1" t="b">
        <v>1</v>
      </c>
      <c r="L257" s="7">
        <v>7</v>
      </c>
      <c r="M257" s="7">
        <v>140</v>
      </c>
    </row>
    <row r="258" spans="1:13">
      <c r="A258" s="8">
        <v>2055</v>
      </c>
      <c r="B258" t="s">
        <v>20</v>
      </c>
      <c r="C258" t="s">
        <v>21</v>
      </c>
      <c r="D258" t="s">
        <v>23</v>
      </c>
      <c r="E258" s="18">
        <v>0</v>
      </c>
      <c r="F258" s="19">
        <f t="shared" ref="F258:F269" si="8">SUMIFS($E$2:$E$269,$A$2:$A$269,$A258,$B$2:$B$269,$B258)</f>
        <v>58</v>
      </c>
      <c r="G258" s="19">
        <f t="shared" ref="G258:G269" si="9">SUMIF($A$2:$A$269,$A258,$E$2:$E$269)</f>
        <v>191</v>
      </c>
      <c r="H258" t="s">
        <v>15</v>
      </c>
      <c r="I258">
        <v>46322.797685185185</v>
      </c>
      <c r="J258" s="1" t="b">
        <v>1</v>
      </c>
      <c r="K258" s="1" t="b">
        <v>1</v>
      </c>
      <c r="L258" s="7">
        <v>7</v>
      </c>
      <c r="M258" s="7">
        <v>140</v>
      </c>
    </row>
    <row r="259" spans="1:13">
      <c r="A259" s="8">
        <v>2055</v>
      </c>
      <c r="B259" t="s">
        <v>20</v>
      </c>
      <c r="C259" t="s">
        <v>21</v>
      </c>
      <c r="D259" t="s">
        <v>24</v>
      </c>
      <c r="E259" s="18">
        <v>7</v>
      </c>
      <c r="F259" s="19">
        <f t="shared" si="8"/>
        <v>58</v>
      </c>
      <c r="G259" s="19">
        <f t="shared" si="9"/>
        <v>191</v>
      </c>
      <c r="H259" t="s">
        <v>15</v>
      </c>
      <c r="I259">
        <v>46322.797685185185</v>
      </c>
      <c r="J259" s="1" t="b">
        <v>1</v>
      </c>
      <c r="K259" s="1" t="b">
        <v>1</v>
      </c>
      <c r="L259" s="7">
        <v>7</v>
      </c>
      <c r="M259" s="7">
        <v>140</v>
      </c>
    </row>
    <row r="260" spans="1:13">
      <c r="A260" s="8">
        <v>2055</v>
      </c>
      <c r="B260" t="s">
        <v>25</v>
      </c>
      <c r="C260" t="s">
        <v>26</v>
      </c>
      <c r="D260" t="s">
        <v>26</v>
      </c>
      <c r="E260" s="18">
        <v>0</v>
      </c>
      <c r="F260" s="19">
        <f t="shared" si="8"/>
        <v>0</v>
      </c>
      <c r="G260" s="19">
        <f t="shared" si="9"/>
        <v>191</v>
      </c>
      <c r="H260" t="s">
        <v>15</v>
      </c>
      <c r="I260">
        <v>46322.797685185185</v>
      </c>
      <c r="J260" s="1" t="b">
        <v>1</v>
      </c>
      <c r="K260" s="1" t="b">
        <v>1</v>
      </c>
      <c r="L260" s="7">
        <v>0</v>
      </c>
      <c r="M260" s="7">
        <v>140</v>
      </c>
    </row>
    <row r="261" spans="1:13">
      <c r="A261" s="8">
        <v>2055</v>
      </c>
      <c r="B261" t="s">
        <v>27</v>
      </c>
      <c r="C261" t="s">
        <v>28</v>
      </c>
      <c r="D261" t="s">
        <v>29</v>
      </c>
      <c r="E261" s="18">
        <v>0</v>
      </c>
      <c r="F261" s="19">
        <f t="shared" si="8"/>
        <v>0</v>
      </c>
      <c r="G261" s="19">
        <f t="shared" si="9"/>
        <v>191</v>
      </c>
      <c r="H261" t="s">
        <v>15</v>
      </c>
      <c r="I261">
        <v>46322.797685185185</v>
      </c>
      <c r="J261" s="1" t="b">
        <v>1</v>
      </c>
      <c r="K261" s="1" t="b">
        <v>1</v>
      </c>
      <c r="L261" s="7">
        <v>0</v>
      </c>
      <c r="M261" s="7">
        <v>140</v>
      </c>
    </row>
    <row r="262" spans="1:13">
      <c r="A262" s="8">
        <v>2056</v>
      </c>
      <c r="B262" t="s">
        <v>13</v>
      </c>
      <c r="C262" t="s">
        <v>14</v>
      </c>
      <c r="D262" t="s">
        <v>14</v>
      </c>
      <c r="E262" s="18">
        <v>0</v>
      </c>
      <c r="F262" s="19">
        <f t="shared" si="8"/>
        <v>0</v>
      </c>
      <c r="G262" s="19">
        <f t="shared" si="9"/>
        <v>228</v>
      </c>
      <c r="H262" t="s">
        <v>15</v>
      </c>
      <c r="I262">
        <v>46322.797685185185</v>
      </c>
      <c r="J262" s="1" t="b">
        <v>1</v>
      </c>
      <c r="K262" s="1" t="b">
        <v>1</v>
      </c>
      <c r="L262" s="7">
        <v>0</v>
      </c>
      <c r="M262" s="7">
        <v>177</v>
      </c>
    </row>
    <row r="263" spans="1:13">
      <c r="A263" s="8">
        <v>2056</v>
      </c>
      <c r="B263" t="s">
        <v>16</v>
      </c>
      <c r="C263" t="s">
        <v>17</v>
      </c>
      <c r="D263" t="s">
        <v>18</v>
      </c>
      <c r="E263" s="18">
        <v>0</v>
      </c>
      <c r="F263" s="19">
        <f t="shared" si="8"/>
        <v>133</v>
      </c>
      <c r="G263" s="19">
        <f t="shared" si="9"/>
        <v>228</v>
      </c>
      <c r="H263" t="s">
        <v>15</v>
      </c>
      <c r="I263">
        <v>46322.797685185185</v>
      </c>
      <c r="J263" s="1" t="b">
        <v>1</v>
      </c>
      <c r="K263" s="1" t="b">
        <v>1</v>
      </c>
      <c r="L263" s="7">
        <v>133</v>
      </c>
      <c r="M263" s="7">
        <v>177</v>
      </c>
    </row>
    <row r="264" spans="1:13">
      <c r="A264" s="8">
        <v>2056</v>
      </c>
      <c r="B264" t="s">
        <v>16</v>
      </c>
      <c r="C264" t="s">
        <v>17</v>
      </c>
      <c r="D264" t="s">
        <v>19</v>
      </c>
      <c r="E264" s="18">
        <v>133</v>
      </c>
      <c r="F264" s="19">
        <f t="shared" si="8"/>
        <v>133</v>
      </c>
      <c r="G264" s="19">
        <f t="shared" si="9"/>
        <v>228</v>
      </c>
      <c r="H264" t="s">
        <v>15</v>
      </c>
      <c r="I264">
        <v>46322.797685185185</v>
      </c>
      <c r="J264" s="1" t="b">
        <v>1</v>
      </c>
      <c r="K264" s="1" t="b">
        <v>1</v>
      </c>
      <c r="L264" s="7">
        <v>133</v>
      </c>
      <c r="M264" s="7">
        <v>177</v>
      </c>
    </row>
    <row r="265" spans="1:13">
      <c r="A265" s="8">
        <v>2056</v>
      </c>
      <c r="B265" t="s">
        <v>20</v>
      </c>
      <c r="C265" t="s">
        <v>21</v>
      </c>
      <c r="D265" t="s">
        <v>22</v>
      </c>
      <c r="E265" s="18">
        <v>51</v>
      </c>
      <c r="F265" s="19">
        <f t="shared" si="8"/>
        <v>95</v>
      </c>
      <c r="G265" s="19">
        <f t="shared" si="9"/>
        <v>228</v>
      </c>
      <c r="H265" t="s">
        <v>15</v>
      </c>
      <c r="I265">
        <v>46322.797685185185</v>
      </c>
      <c r="J265" s="1" t="b">
        <v>1</v>
      </c>
      <c r="K265" s="1" t="b">
        <v>1</v>
      </c>
      <c r="L265" s="7">
        <v>44</v>
      </c>
      <c r="M265" s="7">
        <v>177</v>
      </c>
    </row>
    <row r="266" spans="1:13">
      <c r="A266" s="8">
        <v>2056</v>
      </c>
      <c r="B266" t="s">
        <v>20</v>
      </c>
      <c r="C266" t="s">
        <v>21</v>
      </c>
      <c r="D266" t="s">
        <v>23</v>
      </c>
      <c r="E266" s="18">
        <v>0</v>
      </c>
      <c r="F266" s="19">
        <f t="shared" si="8"/>
        <v>95</v>
      </c>
      <c r="G266" s="19">
        <f t="shared" si="9"/>
        <v>228</v>
      </c>
      <c r="H266" t="s">
        <v>15</v>
      </c>
      <c r="I266">
        <v>46322.797685185185</v>
      </c>
      <c r="J266" s="1" t="b">
        <v>1</v>
      </c>
      <c r="K266" s="1" t="b">
        <v>1</v>
      </c>
      <c r="L266" s="7">
        <v>44</v>
      </c>
      <c r="M266" s="7">
        <v>177</v>
      </c>
    </row>
    <row r="267" spans="1:13">
      <c r="A267" s="8">
        <v>2056</v>
      </c>
      <c r="B267" t="s">
        <v>20</v>
      </c>
      <c r="C267" t="s">
        <v>21</v>
      </c>
      <c r="D267" t="s">
        <v>24</v>
      </c>
      <c r="E267" s="18">
        <v>44</v>
      </c>
      <c r="F267" s="19">
        <f t="shared" si="8"/>
        <v>95</v>
      </c>
      <c r="G267" s="19">
        <f t="shared" si="9"/>
        <v>228</v>
      </c>
      <c r="H267" t="s">
        <v>15</v>
      </c>
      <c r="I267">
        <v>46322.797685185185</v>
      </c>
      <c r="J267" s="1" t="b">
        <v>1</v>
      </c>
      <c r="K267" s="1" t="b">
        <v>1</v>
      </c>
      <c r="L267" s="7">
        <v>44</v>
      </c>
      <c r="M267" s="7">
        <v>177</v>
      </c>
    </row>
    <row r="268" spans="1:13">
      <c r="A268" s="8">
        <v>2056</v>
      </c>
      <c r="B268" t="s">
        <v>25</v>
      </c>
      <c r="C268" t="s">
        <v>26</v>
      </c>
      <c r="D268" t="s">
        <v>26</v>
      </c>
      <c r="E268" s="18">
        <v>0</v>
      </c>
      <c r="F268" s="19">
        <f t="shared" si="8"/>
        <v>0</v>
      </c>
      <c r="G268" s="19">
        <f t="shared" si="9"/>
        <v>228</v>
      </c>
      <c r="H268" t="s">
        <v>15</v>
      </c>
      <c r="I268">
        <v>46322.797685185185</v>
      </c>
      <c r="J268" s="1" t="b">
        <v>1</v>
      </c>
      <c r="K268" s="1" t="b">
        <v>1</v>
      </c>
      <c r="L268" s="7">
        <v>0</v>
      </c>
      <c r="M268" s="7">
        <v>177</v>
      </c>
    </row>
    <row r="269" spans="1:13">
      <c r="A269" s="8">
        <v>2056</v>
      </c>
      <c r="B269" t="s">
        <v>27</v>
      </c>
      <c r="C269" t="s">
        <v>28</v>
      </c>
      <c r="D269" t="s">
        <v>29</v>
      </c>
      <c r="E269" s="18">
        <v>0</v>
      </c>
      <c r="F269" s="19">
        <f t="shared" si="8"/>
        <v>0</v>
      </c>
      <c r="G269" s="19">
        <f t="shared" si="9"/>
        <v>228</v>
      </c>
      <c r="H269" t="s">
        <v>15</v>
      </c>
      <c r="I269">
        <v>46322.797685185185</v>
      </c>
      <c r="J269" s="1" t="b">
        <v>1</v>
      </c>
      <c r="K269" s="1" t="b">
        <v>1</v>
      </c>
      <c r="L269" s="7">
        <v>0</v>
      </c>
      <c r="M269" s="7">
        <v>177</v>
      </c>
    </row>
    <row r="270" spans="1:13">
      <c r="E270" s="20"/>
      <c r="F270" s="20"/>
      <c r="G27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4"/>
  <cols>
    <col min="1" max="1" width="12" customWidth="1"/>
    <col min="2" max="13" width="18" customWidth="1"/>
    <col min="14" max="14" width="21" customWidth="1"/>
  </cols>
  <sheetData>
    <row r="1" spans="1:14" ht="40" customHeight="1">
      <c r="A1" s="2" t="s">
        <v>0</v>
      </c>
      <c r="B1" s="5" t="s">
        <v>31</v>
      </c>
      <c r="C1" s="5" t="s">
        <v>32</v>
      </c>
      <c r="D1" s="5" t="s">
        <v>20</v>
      </c>
      <c r="E1" s="5" t="s">
        <v>25</v>
      </c>
      <c r="F1" s="5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1" t="s">
        <v>41</v>
      </c>
    </row>
    <row r="2" spans="1:14">
      <c r="A2">
        <v>2024</v>
      </c>
      <c r="B2" s="9">
        <f>SUMIFS(Datos_long!$E$2:$E$269,Datos_long!$A$2:$A$269,$A2,Datos_long!$B$2:$B$269,"energia")</f>
        <v>37</v>
      </c>
      <c r="C2" s="9">
        <f>SUMIFS(Datos_long!$E$2:$E$269,Datos_long!$A$2:$A$269,$A2,Datos_long!$B$2:$B$269,"petroleo")</f>
        <v>49</v>
      </c>
      <c r="D2" s="9">
        <f>SUMIFS(Datos_long!$E$2:$E$269,Datos_long!$A$2:$A$269,$A2,Datos_long!$B$2:$B$269,"mineria")</f>
        <v>542</v>
      </c>
      <c r="E2" s="9">
        <f>SUMIFS(Datos_long!$E$2:$E$269,Datos_long!$A$2:$A$269,$A2,Datos_long!$B$2:$B$269,"siderurgia")</f>
        <v>0</v>
      </c>
      <c r="F2" s="9">
        <f>SUMIFS(Datos_long!$E$2:$E$269,Datos_long!$A$2:$A$269,$A2,Datos_long!$B$2:$B$269,"infra")</f>
        <v>0</v>
      </c>
      <c r="G2" s="9">
        <f>IF(COUNTIFS(Datos_long!$A$2:$A$269,$A2,Datos_long!$B$2:$B$269,"petroleo",Datos_long!$D$2:$D$269,"Midstream")=0,"",SUMIFS(Datos_long!$E$2:$E$269,Datos_long!$A$2:$A$269,$A2,Datos_long!$B$2:$B$269,"petroleo",Datos_long!$D$2:$D$269,"Midstream"))</f>
        <v>34</v>
      </c>
      <c r="H2" s="9">
        <f>IF(COUNTIFS(Datos_long!$A$2:$A$269,$A2,Datos_long!$B$2:$B$269,"petroleo",Datos_long!$D$2:$D$269,"Upstream")=0,"",SUMIFS(Datos_long!$E$2:$E$269,Datos_long!$A$2:$A$269,$A2,Datos_long!$B$2:$B$269,"petroleo",Datos_long!$D$2:$D$269,"Upstream"))</f>
        <v>15</v>
      </c>
      <c r="I2" s="9" t="str">
        <f>IF(COUNTIFS(Datos_long!$A$2:$A$269,$A2,Datos_long!$B$2:$B$269,"petroleo",Datos_long!$D$2:$D$269,"Fertilizantes")=0,"",SUMIFS(Datos_long!$E$2:$E$269,Datos_long!$A$2:$A$269,$A2,Datos_long!$B$2:$B$269,"petroleo",Datos_long!$D$2:$D$269,"Fertilizantes"))</f>
        <v/>
      </c>
      <c r="J2" s="9">
        <f>IF(COUNTIFS(Datos_long!$A$2:$A$269,$A2,Datos_long!$B$2:$B$269,"mineria",Datos_long!$D$2:$D$269,"Cobre")=0,"",SUMIFS(Datos_long!$E$2:$E$269,Datos_long!$A$2:$A$269,$A2,Datos_long!$B$2:$B$269,"mineria",Datos_long!$D$2:$D$269,"Cobre"))</f>
        <v>124</v>
      </c>
      <c r="K2" s="9">
        <f>IF(COUNTIFS(Datos_long!$A$2:$A$269,$A2,Datos_long!$B$2:$B$269,"mineria",Datos_long!$D$2:$D$269,"Litio")=0,"",SUMIFS(Datos_long!$E$2:$E$269,Datos_long!$A$2:$A$269,$A2,Datos_long!$B$2:$B$269,"mineria",Datos_long!$D$2:$D$269,"Litio"))</f>
        <v>374</v>
      </c>
      <c r="L2" s="9">
        <f>IF(COUNTIFS(Datos_long!$A$2:$A$269,$A2,Datos_long!$B$2:$B$269,"mineria",Datos_long!$D$2:$D$269,"Oro y Plata")=0,"",SUMIFS(Datos_long!$E$2:$E$269,Datos_long!$A$2:$A$269,$A2,Datos_long!$B$2:$B$269,"mineria",Datos_long!$D$2:$D$269,"Oro y Plata"))</f>
        <v>44</v>
      </c>
      <c r="M2" s="9">
        <f>IF(COUNTIFS(Datos_long!$A$2:$A$269,$A2,Datos_long!$B$2:$B$269,"infra",Datos_long!$D$2:$D$269,"Puerto")=0,"",SUMIFS(Datos_long!$E$2:$E$269,Datos_long!$A$2:$A$269,$A2,Datos_long!$B$2:$B$269,"infra",Datos_long!$D$2:$D$269,"Puerto"))</f>
        <v>0</v>
      </c>
      <c r="N2" s="12">
        <f t="shared" ref="N2:N34" si="0">SUM(B2:F2)</f>
        <v>628</v>
      </c>
    </row>
    <row r="3" spans="1:14">
      <c r="A3">
        <v>2025</v>
      </c>
      <c r="B3" s="9">
        <f>SUMIFS(Datos_long!$E$2:$E$269,Datos_long!$A$2:$A$269,$A3,Datos_long!$B$2:$B$269,"energia")</f>
        <v>252</v>
      </c>
      <c r="C3" s="9">
        <f>SUMIFS(Datos_long!$E$2:$E$269,Datos_long!$A$2:$A$269,$A3,Datos_long!$B$2:$B$269,"petroleo")</f>
        <v>2253</v>
      </c>
      <c r="D3" s="9">
        <f>SUMIFS(Datos_long!$E$2:$E$269,Datos_long!$A$2:$A$269,$A3,Datos_long!$B$2:$B$269,"mineria")</f>
        <v>1493</v>
      </c>
      <c r="E3" s="9">
        <f>SUMIFS(Datos_long!$E$2:$E$269,Datos_long!$A$2:$A$269,$A3,Datos_long!$B$2:$B$269,"siderurgia")</f>
        <v>82</v>
      </c>
      <c r="F3" s="9">
        <f>SUMIFS(Datos_long!$E$2:$E$269,Datos_long!$A$2:$A$269,$A3,Datos_long!$B$2:$B$269,"infra")</f>
        <v>92</v>
      </c>
      <c r="G3" s="9">
        <f>IF(COUNTIFS(Datos_long!$A$2:$A$269,$A3,Datos_long!$B$2:$B$269,"petroleo",Datos_long!$D$2:$D$269,"Midstream")=0,"",SUMIFS(Datos_long!$E$2:$E$269,Datos_long!$A$2:$A$269,$A3,Datos_long!$B$2:$B$269,"petroleo",Datos_long!$D$2:$D$269,"Midstream"))</f>
        <v>1574</v>
      </c>
      <c r="H3" s="9">
        <f>IF(COUNTIFS(Datos_long!$A$2:$A$269,$A3,Datos_long!$B$2:$B$269,"petroleo",Datos_long!$D$2:$D$269,"Upstream")=0,"",SUMIFS(Datos_long!$E$2:$E$269,Datos_long!$A$2:$A$269,$A3,Datos_long!$B$2:$B$269,"petroleo",Datos_long!$D$2:$D$269,"Upstream"))</f>
        <v>679</v>
      </c>
      <c r="I3" s="9" t="str">
        <f>IF(COUNTIFS(Datos_long!$A$2:$A$269,$A3,Datos_long!$B$2:$B$269,"petroleo",Datos_long!$D$2:$D$269,"Fertilizantes")=0,"",SUMIFS(Datos_long!$E$2:$E$269,Datos_long!$A$2:$A$269,$A3,Datos_long!$B$2:$B$269,"petroleo",Datos_long!$D$2:$D$269,"Fertilizantes"))</f>
        <v/>
      </c>
      <c r="J3" s="9">
        <f>IF(COUNTIFS(Datos_long!$A$2:$A$269,$A3,Datos_long!$B$2:$B$269,"mineria",Datos_long!$D$2:$D$269,"Cobre")=0,"",SUMIFS(Datos_long!$E$2:$E$269,Datos_long!$A$2:$A$269,$A3,Datos_long!$B$2:$B$269,"mineria",Datos_long!$D$2:$D$269,"Cobre"))</f>
        <v>440</v>
      </c>
      <c r="K3" s="9">
        <f>IF(COUNTIFS(Datos_long!$A$2:$A$269,$A3,Datos_long!$B$2:$B$269,"mineria",Datos_long!$D$2:$D$269,"Litio")=0,"",SUMIFS(Datos_long!$E$2:$E$269,Datos_long!$A$2:$A$269,$A3,Datos_long!$B$2:$B$269,"mineria",Datos_long!$D$2:$D$269,"Litio"))</f>
        <v>948</v>
      </c>
      <c r="L3" s="9">
        <f>IF(COUNTIFS(Datos_long!$A$2:$A$269,$A3,Datos_long!$B$2:$B$269,"mineria",Datos_long!$D$2:$D$269,"Oro y Plata")=0,"",SUMIFS(Datos_long!$E$2:$E$269,Datos_long!$A$2:$A$269,$A3,Datos_long!$B$2:$B$269,"mineria",Datos_long!$D$2:$D$269,"Oro y Plata"))</f>
        <v>105</v>
      </c>
      <c r="M3" s="9">
        <f>IF(COUNTIFS(Datos_long!$A$2:$A$269,$A3,Datos_long!$B$2:$B$269,"infra",Datos_long!$D$2:$D$269,"Puerto")=0,"",SUMIFS(Datos_long!$E$2:$E$269,Datos_long!$A$2:$A$269,$A3,Datos_long!$B$2:$B$269,"infra",Datos_long!$D$2:$D$269,"Puerto"))</f>
        <v>92</v>
      </c>
      <c r="N3" s="12">
        <f t="shared" si="0"/>
        <v>4172</v>
      </c>
    </row>
    <row r="4" spans="1:14">
      <c r="A4">
        <v>2026</v>
      </c>
      <c r="B4" s="9">
        <f>SUMIFS(Datos_long!$E$2:$E$269,Datos_long!$A$2:$A$269,$A4,Datos_long!$B$2:$B$269,"energia")</f>
        <v>162</v>
      </c>
      <c r="C4" s="9">
        <f>SUMIFS(Datos_long!$E$2:$E$269,Datos_long!$A$2:$A$269,$A4,Datos_long!$B$2:$B$269,"petroleo")</f>
        <v>4658</v>
      </c>
      <c r="D4" s="9">
        <f>SUMIFS(Datos_long!$E$2:$E$269,Datos_long!$A$2:$A$269,$A4,Datos_long!$B$2:$B$269,"mineria")</f>
        <v>2630</v>
      </c>
      <c r="E4" s="9">
        <f>SUMIFS(Datos_long!$E$2:$E$269,Datos_long!$A$2:$A$269,$A4,Datos_long!$B$2:$B$269,"siderurgia")</f>
        <v>130</v>
      </c>
      <c r="F4" s="9">
        <f>SUMIFS(Datos_long!$E$2:$E$269,Datos_long!$A$2:$A$269,$A4,Datos_long!$B$2:$B$269,"infra")</f>
        <v>74</v>
      </c>
      <c r="G4" s="9">
        <f>IF(COUNTIFS(Datos_long!$A$2:$A$269,$A4,Datos_long!$B$2:$B$269,"petroleo",Datos_long!$D$2:$D$269,"Midstream")=0,"",SUMIFS(Datos_long!$E$2:$E$269,Datos_long!$A$2:$A$269,$A4,Datos_long!$B$2:$B$269,"petroleo",Datos_long!$D$2:$D$269,"Midstream"))</f>
        <v>2348</v>
      </c>
      <c r="H4" s="9">
        <f>IF(COUNTIFS(Datos_long!$A$2:$A$269,$A4,Datos_long!$B$2:$B$269,"petroleo",Datos_long!$D$2:$D$269,"Upstream")=0,"",SUMIFS(Datos_long!$E$2:$E$269,Datos_long!$A$2:$A$269,$A4,Datos_long!$B$2:$B$269,"petroleo",Datos_long!$D$2:$D$269,"Upstream"))</f>
        <v>1783</v>
      </c>
      <c r="I4" s="9">
        <f>IF(COUNTIFS(Datos_long!$A$2:$A$269,$A4,Datos_long!$B$2:$B$269,"petroleo",Datos_long!$D$2:$D$269,"Fertilizantes")=0,"",SUMIFS(Datos_long!$E$2:$E$269,Datos_long!$A$2:$A$269,$A4,Datos_long!$B$2:$B$269,"petroleo",Datos_long!$D$2:$D$269,"Fertilizantes"))</f>
        <v>527</v>
      </c>
      <c r="J4" s="9">
        <f>IF(COUNTIFS(Datos_long!$A$2:$A$269,$A4,Datos_long!$B$2:$B$269,"mineria",Datos_long!$D$2:$D$269,"Cobre")=0,"",SUMIFS(Datos_long!$E$2:$E$269,Datos_long!$A$2:$A$269,$A4,Datos_long!$B$2:$B$269,"mineria",Datos_long!$D$2:$D$269,"Cobre"))</f>
        <v>1013</v>
      </c>
      <c r="K4" s="9">
        <f>IF(COUNTIFS(Datos_long!$A$2:$A$269,$A4,Datos_long!$B$2:$B$269,"mineria",Datos_long!$D$2:$D$269,"Litio")=0,"",SUMIFS(Datos_long!$E$2:$E$269,Datos_long!$A$2:$A$269,$A4,Datos_long!$B$2:$B$269,"mineria",Datos_long!$D$2:$D$269,"Litio"))</f>
        <v>1358</v>
      </c>
      <c r="L4" s="9">
        <f>IF(COUNTIFS(Datos_long!$A$2:$A$269,$A4,Datos_long!$B$2:$B$269,"mineria",Datos_long!$D$2:$D$269,"Oro y Plata")=0,"",SUMIFS(Datos_long!$E$2:$E$269,Datos_long!$A$2:$A$269,$A4,Datos_long!$B$2:$B$269,"mineria",Datos_long!$D$2:$D$269,"Oro y Plata"))</f>
        <v>259</v>
      </c>
      <c r="M4" s="9">
        <f>IF(COUNTIFS(Datos_long!$A$2:$A$269,$A4,Datos_long!$B$2:$B$269,"infra",Datos_long!$D$2:$D$269,"Puerto")=0,"",SUMIFS(Datos_long!$E$2:$E$269,Datos_long!$A$2:$A$269,$A4,Datos_long!$B$2:$B$269,"infra",Datos_long!$D$2:$D$269,"Puerto"))</f>
        <v>74</v>
      </c>
      <c r="N4" s="12">
        <f t="shared" si="0"/>
        <v>7654</v>
      </c>
    </row>
    <row r="5" spans="1:14">
      <c r="A5">
        <v>2027</v>
      </c>
      <c r="B5" s="9">
        <f>SUMIFS(Datos_long!$E$2:$E$269,Datos_long!$A$2:$A$269,$A5,Datos_long!$B$2:$B$269,"energia")</f>
        <v>36</v>
      </c>
      <c r="C5" s="9">
        <f>SUMIFS(Datos_long!$E$2:$E$269,Datos_long!$A$2:$A$269,$A5,Datos_long!$B$2:$B$269,"petroleo")</f>
        <v>3657</v>
      </c>
      <c r="D5" s="9">
        <f>SUMIFS(Datos_long!$E$2:$E$269,Datos_long!$A$2:$A$269,$A5,Datos_long!$B$2:$B$269,"mineria")</f>
        <v>3987</v>
      </c>
      <c r="E5" s="9">
        <f>SUMIFS(Datos_long!$E$2:$E$269,Datos_long!$A$2:$A$269,$A5,Datos_long!$B$2:$B$269,"siderurgia")</f>
        <v>66</v>
      </c>
      <c r="F5" s="9">
        <f>SUMIFS(Datos_long!$E$2:$E$269,Datos_long!$A$2:$A$269,$A5,Datos_long!$B$2:$B$269,"infra")</f>
        <v>64</v>
      </c>
      <c r="G5" s="9">
        <f>IF(COUNTIFS(Datos_long!$A$2:$A$269,$A5,Datos_long!$B$2:$B$269,"petroleo",Datos_long!$D$2:$D$269,"Midstream")=0,"",SUMIFS(Datos_long!$E$2:$E$269,Datos_long!$A$2:$A$269,$A5,Datos_long!$B$2:$B$269,"petroleo",Datos_long!$D$2:$D$269,"Midstream"))</f>
        <v>1090</v>
      </c>
      <c r="H5" s="9">
        <f>IF(COUNTIFS(Datos_long!$A$2:$A$269,$A5,Datos_long!$B$2:$B$269,"petroleo",Datos_long!$D$2:$D$269,"Upstream")=0,"",SUMIFS(Datos_long!$E$2:$E$269,Datos_long!$A$2:$A$269,$A5,Datos_long!$B$2:$B$269,"petroleo",Datos_long!$D$2:$D$269,"Upstream"))</f>
        <v>1989</v>
      </c>
      <c r="I5" s="9">
        <f>IF(COUNTIFS(Datos_long!$A$2:$A$269,$A5,Datos_long!$B$2:$B$269,"petroleo",Datos_long!$D$2:$D$269,"Fertilizantes")=0,"",SUMIFS(Datos_long!$E$2:$E$269,Datos_long!$A$2:$A$269,$A5,Datos_long!$B$2:$B$269,"petroleo",Datos_long!$D$2:$D$269,"Fertilizantes"))</f>
        <v>578</v>
      </c>
      <c r="J5" s="9">
        <f>IF(COUNTIFS(Datos_long!$A$2:$A$269,$A5,Datos_long!$B$2:$B$269,"mineria",Datos_long!$D$2:$D$269,"Cobre")=0,"",SUMIFS(Datos_long!$E$2:$E$269,Datos_long!$A$2:$A$269,$A5,Datos_long!$B$2:$B$269,"mineria",Datos_long!$D$2:$D$269,"Cobre"))</f>
        <v>2474</v>
      </c>
      <c r="K5" s="9">
        <f>IF(COUNTIFS(Datos_long!$A$2:$A$269,$A5,Datos_long!$B$2:$B$269,"mineria",Datos_long!$D$2:$D$269,"Litio")=0,"",SUMIFS(Datos_long!$E$2:$E$269,Datos_long!$A$2:$A$269,$A5,Datos_long!$B$2:$B$269,"mineria",Datos_long!$D$2:$D$269,"Litio"))</f>
        <v>1141</v>
      </c>
      <c r="L5" s="9">
        <f>IF(COUNTIFS(Datos_long!$A$2:$A$269,$A5,Datos_long!$B$2:$B$269,"mineria",Datos_long!$D$2:$D$269,"Oro y Plata")=0,"",SUMIFS(Datos_long!$E$2:$E$269,Datos_long!$A$2:$A$269,$A5,Datos_long!$B$2:$B$269,"mineria",Datos_long!$D$2:$D$269,"Oro y Plata"))</f>
        <v>372</v>
      </c>
      <c r="M5" s="9">
        <f>IF(COUNTIFS(Datos_long!$A$2:$A$269,$A5,Datos_long!$B$2:$B$269,"infra",Datos_long!$D$2:$D$269,"Puerto")=0,"",SUMIFS(Datos_long!$E$2:$E$269,Datos_long!$A$2:$A$269,$A5,Datos_long!$B$2:$B$269,"infra",Datos_long!$D$2:$D$269,"Puerto"))</f>
        <v>64</v>
      </c>
      <c r="N5" s="12">
        <f t="shared" si="0"/>
        <v>7810</v>
      </c>
    </row>
    <row r="6" spans="1:14">
      <c r="A6">
        <v>2028</v>
      </c>
      <c r="B6" s="9">
        <f>SUMIFS(Datos_long!$E$2:$E$269,Datos_long!$A$2:$A$269,$A6,Datos_long!$B$2:$B$269,"energia")</f>
        <v>0</v>
      </c>
      <c r="C6" s="9">
        <f>SUMIFS(Datos_long!$E$2:$E$269,Datos_long!$A$2:$A$269,$A6,Datos_long!$B$2:$B$269,"petroleo")</f>
        <v>3836</v>
      </c>
      <c r="D6" s="9">
        <f>SUMIFS(Datos_long!$E$2:$E$269,Datos_long!$A$2:$A$269,$A6,Datos_long!$B$2:$B$269,"mineria")</f>
        <v>4859</v>
      </c>
      <c r="E6" s="9">
        <f>SUMIFS(Datos_long!$E$2:$E$269,Datos_long!$A$2:$A$269,$A6,Datos_long!$B$2:$B$269,"siderurgia")</f>
        <v>8</v>
      </c>
      <c r="F6" s="9">
        <f>SUMIFS(Datos_long!$E$2:$E$269,Datos_long!$A$2:$A$269,$A6,Datos_long!$B$2:$B$269,"infra")</f>
        <v>24</v>
      </c>
      <c r="G6" s="9">
        <f>IF(COUNTIFS(Datos_long!$A$2:$A$269,$A6,Datos_long!$B$2:$B$269,"petroleo",Datos_long!$D$2:$D$269,"Midstream")=0,"",SUMIFS(Datos_long!$E$2:$E$269,Datos_long!$A$2:$A$269,$A6,Datos_long!$B$2:$B$269,"petroleo",Datos_long!$D$2:$D$269,"Midstream"))</f>
        <v>818</v>
      </c>
      <c r="H6" s="9">
        <f>IF(COUNTIFS(Datos_long!$A$2:$A$269,$A6,Datos_long!$B$2:$B$269,"petroleo",Datos_long!$D$2:$D$269,"Upstream")=0,"",SUMIFS(Datos_long!$E$2:$E$269,Datos_long!$A$2:$A$269,$A6,Datos_long!$B$2:$B$269,"petroleo",Datos_long!$D$2:$D$269,"Upstream"))</f>
        <v>1843</v>
      </c>
      <c r="I6" s="9">
        <f>IF(COUNTIFS(Datos_long!$A$2:$A$269,$A6,Datos_long!$B$2:$B$269,"petroleo",Datos_long!$D$2:$D$269,"Fertilizantes")=0,"",SUMIFS(Datos_long!$E$2:$E$269,Datos_long!$A$2:$A$269,$A6,Datos_long!$B$2:$B$269,"petroleo",Datos_long!$D$2:$D$269,"Fertilizantes"))</f>
        <v>1175</v>
      </c>
      <c r="J6" s="9">
        <f>IF(COUNTIFS(Datos_long!$A$2:$A$269,$A6,Datos_long!$B$2:$B$269,"mineria",Datos_long!$D$2:$D$269,"Cobre")=0,"",SUMIFS(Datos_long!$E$2:$E$269,Datos_long!$A$2:$A$269,$A6,Datos_long!$B$2:$B$269,"mineria",Datos_long!$D$2:$D$269,"Cobre"))</f>
        <v>3730</v>
      </c>
      <c r="K6" s="9">
        <f>IF(COUNTIFS(Datos_long!$A$2:$A$269,$A6,Datos_long!$B$2:$B$269,"mineria",Datos_long!$D$2:$D$269,"Litio")=0,"",SUMIFS(Datos_long!$E$2:$E$269,Datos_long!$A$2:$A$269,$A6,Datos_long!$B$2:$B$269,"mineria",Datos_long!$D$2:$D$269,"Litio"))</f>
        <v>749</v>
      </c>
      <c r="L6" s="9">
        <f>IF(COUNTIFS(Datos_long!$A$2:$A$269,$A6,Datos_long!$B$2:$B$269,"mineria",Datos_long!$D$2:$D$269,"Oro y Plata")=0,"",SUMIFS(Datos_long!$E$2:$E$269,Datos_long!$A$2:$A$269,$A6,Datos_long!$B$2:$B$269,"mineria",Datos_long!$D$2:$D$269,"Oro y Plata"))</f>
        <v>380</v>
      </c>
      <c r="M6" s="9">
        <f>IF(COUNTIFS(Datos_long!$A$2:$A$269,$A6,Datos_long!$B$2:$B$269,"infra",Datos_long!$D$2:$D$269,"Puerto")=0,"",SUMIFS(Datos_long!$E$2:$E$269,Datos_long!$A$2:$A$269,$A6,Datos_long!$B$2:$B$269,"infra",Datos_long!$D$2:$D$269,"Puerto"))</f>
        <v>24</v>
      </c>
      <c r="N6" s="12">
        <f t="shared" si="0"/>
        <v>8727</v>
      </c>
    </row>
    <row r="7" spans="1:14">
      <c r="A7">
        <v>2029</v>
      </c>
      <c r="B7" s="9">
        <f>SUMIFS(Datos_long!$E$2:$E$269,Datos_long!$A$2:$A$269,$A7,Datos_long!$B$2:$B$269,"energia")</f>
        <v>0</v>
      </c>
      <c r="C7" s="9">
        <f>SUMIFS(Datos_long!$E$2:$E$269,Datos_long!$A$2:$A$269,$A7,Datos_long!$B$2:$B$269,"petroleo")</f>
        <v>2501</v>
      </c>
      <c r="D7" s="9">
        <f>SUMIFS(Datos_long!$E$2:$E$269,Datos_long!$A$2:$A$269,$A7,Datos_long!$B$2:$B$269,"mineria")</f>
        <v>3966</v>
      </c>
      <c r="E7" s="9">
        <f>SUMIFS(Datos_long!$E$2:$E$269,Datos_long!$A$2:$A$269,$A7,Datos_long!$B$2:$B$269,"siderurgia")</f>
        <v>0</v>
      </c>
      <c r="F7" s="9">
        <f>SUMIFS(Datos_long!$E$2:$E$269,Datos_long!$A$2:$A$269,$A7,Datos_long!$B$2:$B$269,"infra")</f>
        <v>21</v>
      </c>
      <c r="G7" s="9">
        <f>IF(COUNTIFS(Datos_long!$A$2:$A$269,$A7,Datos_long!$B$2:$B$269,"petroleo",Datos_long!$D$2:$D$269,"Midstream")=0,"",SUMIFS(Datos_long!$E$2:$E$269,Datos_long!$A$2:$A$269,$A7,Datos_long!$B$2:$B$269,"petroleo",Datos_long!$D$2:$D$269,"Midstream"))</f>
        <v>685</v>
      </c>
      <c r="H7" s="9">
        <f>IF(COUNTIFS(Datos_long!$A$2:$A$269,$A7,Datos_long!$B$2:$B$269,"petroleo",Datos_long!$D$2:$D$269,"Upstream")=0,"",SUMIFS(Datos_long!$E$2:$E$269,Datos_long!$A$2:$A$269,$A7,Datos_long!$B$2:$B$269,"petroleo",Datos_long!$D$2:$D$269,"Upstream"))</f>
        <v>1403</v>
      </c>
      <c r="I7" s="9">
        <f>IF(COUNTIFS(Datos_long!$A$2:$A$269,$A7,Datos_long!$B$2:$B$269,"petroleo",Datos_long!$D$2:$D$269,"Fertilizantes")=0,"",SUMIFS(Datos_long!$E$2:$E$269,Datos_long!$A$2:$A$269,$A7,Datos_long!$B$2:$B$269,"petroleo",Datos_long!$D$2:$D$269,"Fertilizantes"))</f>
        <v>413</v>
      </c>
      <c r="J7" s="9">
        <f>IF(COUNTIFS(Datos_long!$A$2:$A$269,$A7,Datos_long!$B$2:$B$269,"mineria",Datos_long!$D$2:$D$269,"Cobre")=0,"",SUMIFS(Datos_long!$E$2:$E$269,Datos_long!$A$2:$A$269,$A7,Datos_long!$B$2:$B$269,"mineria",Datos_long!$D$2:$D$269,"Cobre"))</f>
        <v>3531</v>
      </c>
      <c r="K7" s="9">
        <f>IF(COUNTIFS(Datos_long!$A$2:$A$269,$A7,Datos_long!$B$2:$B$269,"mineria",Datos_long!$D$2:$D$269,"Litio")=0,"",SUMIFS(Datos_long!$E$2:$E$269,Datos_long!$A$2:$A$269,$A7,Datos_long!$B$2:$B$269,"mineria",Datos_long!$D$2:$D$269,"Litio"))</f>
        <v>229</v>
      </c>
      <c r="L7" s="9">
        <f>IF(COUNTIFS(Datos_long!$A$2:$A$269,$A7,Datos_long!$B$2:$B$269,"mineria",Datos_long!$D$2:$D$269,"Oro y Plata")=0,"",SUMIFS(Datos_long!$E$2:$E$269,Datos_long!$A$2:$A$269,$A7,Datos_long!$B$2:$B$269,"mineria",Datos_long!$D$2:$D$269,"Oro y Plata"))</f>
        <v>206</v>
      </c>
      <c r="M7" s="9">
        <f>IF(COUNTIFS(Datos_long!$A$2:$A$269,$A7,Datos_long!$B$2:$B$269,"infra",Datos_long!$D$2:$D$269,"Puerto")=0,"",SUMIFS(Datos_long!$E$2:$E$269,Datos_long!$A$2:$A$269,$A7,Datos_long!$B$2:$B$269,"infra",Datos_long!$D$2:$D$269,"Puerto"))</f>
        <v>21</v>
      </c>
      <c r="N7" s="12">
        <f t="shared" si="0"/>
        <v>6488</v>
      </c>
    </row>
    <row r="8" spans="1:14">
      <c r="A8">
        <v>2030</v>
      </c>
      <c r="B8" s="9">
        <f>SUMIFS(Datos_long!$E$2:$E$269,Datos_long!$A$2:$A$269,$A8,Datos_long!$B$2:$B$269,"energia")</f>
        <v>0</v>
      </c>
      <c r="C8" s="9">
        <f>SUMIFS(Datos_long!$E$2:$E$269,Datos_long!$A$2:$A$269,$A8,Datos_long!$B$2:$B$269,"petroleo")</f>
        <v>2249</v>
      </c>
      <c r="D8" s="9">
        <f>SUMIFS(Datos_long!$E$2:$E$269,Datos_long!$A$2:$A$269,$A8,Datos_long!$B$2:$B$269,"mineria")</f>
        <v>3724</v>
      </c>
      <c r="E8" s="9">
        <f>SUMIFS(Datos_long!$E$2:$E$269,Datos_long!$A$2:$A$269,$A8,Datos_long!$B$2:$B$269,"siderurgia")</f>
        <v>0</v>
      </c>
      <c r="F8" s="9">
        <f>SUMIFS(Datos_long!$E$2:$E$269,Datos_long!$A$2:$A$269,$A8,Datos_long!$B$2:$B$269,"infra")</f>
        <v>2</v>
      </c>
      <c r="G8" s="9">
        <f>IF(COUNTIFS(Datos_long!$A$2:$A$269,$A8,Datos_long!$B$2:$B$269,"petroleo",Datos_long!$D$2:$D$269,"Midstream")=0,"",SUMIFS(Datos_long!$E$2:$E$269,Datos_long!$A$2:$A$269,$A8,Datos_long!$B$2:$B$269,"petroleo",Datos_long!$D$2:$D$269,"Midstream"))</f>
        <v>685</v>
      </c>
      <c r="H8" s="9">
        <f>IF(COUNTIFS(Datos_long!$A$2:$A$269,$A8,Datos_long!$B$2:$B$269,"petroleo",Datos_long!$D$2:$D$269,"Upstream")=0,"",SUMIFS(Datos_long!$E$2:$E$269,Datos_long!$A$2:$A$269,$A8,Datos_long!$B$2:$B$269,"petroleo",Datos_long!$D$2:$D$269,"Upstream"))</f>
        <v>1564</v>
      </c>
      <c r="I8" s="9" t="str">
        <f>IF(COUNTIFS(Datos_long!$A$2:$A$269,$A8,Datos_long!$B$2:$B$269,"petroleo",Datos_long!$D$2:$D$269,"Fertilizantes")=0,"",SUMIFS(Datos_long!$E$2:$E$269,Datos_long!$A$2:$A$269,$A8,Datos_long!$B$2:$B$269,"petroleo",Datos_long!$D$2:$D$269,"Fertilizantes"))</f>
        <v/>
      </c>
      <c r="J8" s="9">
        <f>IF(COUNTIFS(Datos_long!$A$2:$A$269,$A8,Datos_long!$B$2:$B$269,"mineria",Datos_long!$D$2:$D$269,"Cobre")=0,"",SUMIFS(Datos_long!$E$2:$E$269,Datos_long!$A$2:$A$269,$A8,Datos_long!$B$2:$B$269,"mineria",Datos_long!$D$2:$D$269,"Cobre"))</f>
        <v>3497</v>
      </c>
      <c r="K8" s="9">
        <f>IF(COUNTIFS(Datos_long!$A$2:$A$269,$A8,Datos_long!$B$2:$B$269,"mineria",Datos_long!$D$2:$D$269,"Litio")=0,"",SUMIFS(Datos_long!$E$2:$E$269,Datos_long!$A$2:$A$269,$A8,Datos_long!$B$2:$B$269,"mineria",Datos_long!$D$2:$D$269,"Litio"))</f>
        <v>190</v>
      </c>
      <c r="L8" s="9">
        <f>IF(COUNTIFS(Datos_long!$A$2:$A$269,$A8,Datos_long!$B$2:$B$269,"mineria",Datos_long!$D$2:$D$269,"Oro y Plata")=0,"",SUMIFS(Datos_long!$E$2:$E$269,Datos_long!$A$2:$A$269,$A8,Datos_long!$B$2:$B$269,"mineria",Datos_long!$D$2:$D$269,"Oro y Plata"))</f>
        <v>37</v>
      </c>
      <c r="M8" s="9">
        <f>IF(COUNTIFS(Datos_long!$A$2:$A$269,$A8,Datos_long!$B$2:$B$269,"infra",Datos_long!$D$2:$D$269,"Puerto")=0,"",SUMIFS(Datos_long!$E$2:$E$269,Datos_long!$A$2:$A$269,$A8,Datos_long!$B$2:$B$269,"infra",Datos_long!$D$2:$D$269,"Puerto"))</f>
        <v>2</v>
      </c>
      <c r="N8" s="12">
        <f t="shared" si="0"/>
        <v>5975</v>
      </c>
    </row>
    <row r="9" spans="1:14">
      <c r="A9">
        <v>2031</v>
      </c>
      <c r="B9" s="9">
        <f>SUMIFS(Datos_long!$E$2:$E$269,Datos_long!$A$2:$A$269,$A9,Datos_long!$B$2:$B$269,"energia")</f>
        <v>0</v>
      </c>
      <c r="C9" s="9">
        <f>SUMIFS(Datos_long!$E$2:$E$269,Datos_long!$A$2:$A$269,$A9,Datos_long!$B$2:$B$269,"petroleo")</f>
        <v>2072</v>
      </c>
      <c r="D9" s="9">
        <f>SUMIFS(Datos_long!$E$2:$E$269,Datos_long!$A$2:$A$269,$A9,Datos_long!$B$2:$B$269,"mineria")</f>
        <v>2282</v>
      </c>
      <c r="E9" s="9">
        <f>SUMIFS(Datos_long!$E$2:$E$269,Datos_long!$A$2:$A$269,$A9,Datos_long!$B$2:$B$269,"siderurgia")</f>
        <v>0</v>
      </c>
      <c r="F9" s="9">
        <f>SUMIFS(Datos_long!$E$2:$E$269,Datos_long!$A$2:$A$269,$A9,Datos_long!$B$2:$B$269,"infra")</f>
        <v>0</v>
      </c>
      <c r="G9" s="9">
        <f>IF(COUNTIFS(Datos_long!$A$2:$A$269,$A9,Datos_long!$B$2:$B$269,"petroleo",Datos_long!$D$2:$D$269,"Midstream")=0,"",SUMIFS(Datos_long!$E$2:$E$269,Datos_long!$A$2:$A$269,$A9,Datos_long!$B$2:$B$269,"petroleo",Datos_long!$D$2:$D$269,"Midstream"))</f>
        <v>685</v>
      </c>
      <c r="H9" s="9">
        <f>IF(COUNTIFS(Datos_long!$A$2:$A$269,$A9,Datos_long!$B$2:$B$269,"petroleo",Datos_long!$D$2:$D$269,"Upstream")=0,"",SUMIFS(Datos_long!$E$2:$E$269,Datos_long!$A$2:$A$269,$A9,Datos_long!$B$2:$B$269,"petroleo",Datos_long!$D$2:$D$269,"Upstream"))</f>
        <v>1387</v>
      </c>
      <c r="I9" s="9" t="str">
        <f>IF(COUNTIFS(Datos_long!$A$2:$A$269,$A9,Datos_long!$B$2:$B$269,"petroleo",Datos_long!$D$2:$D$269,"Fertilizantes")=0,"",SUMIFS(Datos_long!$E$2:$E$269,Datos_long!$A$2:$A$269,$A9,Datos_long!$B$2:$B$269,"petroleo",Datos_long!$D$2:$D$269,"Fertilizantes"))</f>
        <v/>
      </c>
      <c r="J9" s="9">
        <f>IF(COUNTIFS(Datos_long!$A$2:$A$269,$A9,Datos_long!$B$2:$B$269,"mineria",Datos_long!$D$2:$D$269,"Cobre")=0,"",SUMIFS(Datos_long!$E$2:$E$269,Datos_long!$A$2:$A$269,$A9,Datos_long!$B$2:$B$269,"mineria",Datos_long!$D$2:$D$269,"Cobre"))</f>
        <v>1923</v>
      </c>
      <c r="K9" s="9">
        <f>IF(COUNTIFS(Datos_long!$A$2:$A$269,$A9,Datos_long!$B$2:$B$269,"mineria",Datos_long!$D$2:$D$269,"Litio")=0,"",SUMIFS(Datos_long!$E$2:$E$269,Datos_long!$A$2:$A$269,$A9,Datos_long!$B$2:$B$269,"mineria",Datos_long!$D$2:$D$269,"Litio"))</f>
        <v>339</v>
      </c>
      <c r="L9" s="9">
        <f>IF(COUNTIFS(Datos_long!$A$2:$A$269,$A9,Datos_long!$B$2:$B$269,"mineria",Datos_long!$D$2:$D$269,"Oro y Plata")=0,"",SUMIFS(Datos_long!$E$2:$E$269,Datos_long!$A$2:$A$269,$A9,Datos_long!$B$2:$B$269,"mineria",Datos_long!$D$2:$D$269,"Oro y Plata"))</f>
        <v>20</v>
      </c>
      <c r="M9" s="9">
        <f>IF(COUNTIFS(Datos_long!$A$2:$A$269,$A9,Datos_long!$B$2:$B$269,"infra",Datos_long!$D$2:$D$269,"Puerto")=0,"",SUMIFS(Datos_long!$E$2:$E$269,Datos_long!$A$2:$A$269,$A9,Datos_long!$B$2:$B$269,"infra",Datos_long!$D$2:$D$269,"Puerto"))</f>
        <v>0</v>
      </c>
      <c r="N9" s="12">
        <f t="shared" si="0"/>
        <v>4354</v>
      </c>
    </row>
    <row r="10" spans="1:14">
      <c r="A10">
        <v>2032</v>
      </c>
      <c r="B10" s="9">
        <f>SUMIFS(Datos_long!$E$2:$E$269,Datos_long!$A$2:$A$269,$A10,Datos_long!$B$2:$B$269,"energia")</f>
        <v>0</v>
      </c>
      <c r="C10" s="9">
        <f>SUMIFS(Datos_long!$E$2:$E$269,Datos_long!$A$2:$A$269,$A10,Datos_long!$B$2:$B$269,"petroleo")</f>
        <v>2094</v>
      </c>
      <c r="D10" s="9">
        <f>SUMIFS(Datos_long!$E$2:$E$269,Datos_long!$A$2:$A$269,$A10,Datos_long!$B$2:$B$269,"mineria")</f>
        <v>606</v>
      </c>
      <c r="E10" s="9">
        <f>SUMIFS(Datos_long!$E$2:$E$269,Datos_long!$A$2:$A$269,$A10,Datos_long!$B$2:$B$269,"siderurgia")</f>
        <v>0</v>
      </c>
      <c r="F10" s="9">
        <f>SUMIFS(Datos_long!$E$2:$E$269,Datos_long!$A$2:$A$269,$A10,Datos_long!$B$2:$B$269,"infra")</f>
        <v>0</v>
      </c>
      <c r="G10" s="9">
        <f>IF(COUNTIFS(Datos_long!$A$2:$A$269,$A10,Datos_long!$B$2:$B$269,"petroleo",Datos_long!$D$2:$D$269,"Midstream")=0,"",SUMIFS(Datos_long!$E$2:$E$269,Datos_long!$A$2:$A$269,$A10,Datos_long!$B$2:$B$269,"petroleo",Datos_long!$D$2:$D$269,"Midstream"))</f>
        <v>685</v>
      </c>
      <c r="H10" s="9">
        <f>IF(COUNTIFS(Datos_long!$A$2:$A$269,$A10,Datos_long!$B$2:$B$269,"petroleo",Datos_long!$D$2:$D$269,"Upstream")=0,"",SUMIFS(Datos_long!$E$2:$E$269,Datos_long!$A$2:$A$269,$A10,Datos_long!$B$2:$B$269,"petroleo",Datos_long!$D$2:$D$269,"Upstream"))</f>
        <v>1409</v>
      </c>
      <c r="I10" s="9" t="str">
        <f>IF(COUNTIFS(Datos_long!$A$2:$A$269,$A10,Datos_long!$B$2:$B$269,"petroleo",Datos_long!$D$2:$D$269,"Fertilizantes")=0,"",SUMIFS(Datos_long!$E$2:$E$269,Datos_long!$A$2:$A$269,$A10,Datos_long!$B$2:$B$269,"petroleo",Datos_long!$D$2:$D$269,"Fertilizantes"))</f>
        <v/>
      </c>
      <c r="J10" s="9">
        <f>IF(COUNTIFS(Datos_long!$A$2:$A$269,$A10,Datos_long!$B$2:$B$269,"mineria",Datos_long!$D$2:$D$269,"Cobre")=0,"",SUMIFS(Datos_long!$E$2:$E$269,Datos_long!$A$2:$A$269,$A10,Datos_long!$B$2:$B$269,"mineria",Datos_long!$D$2:$D$269,"Cobre"))</f>
        <v>201</v>
      </c>
      <c r="K10" s="9">
        <f>IF(COUNTIFS(Datos_long!$A$2:$A$269,$A10,Datos_long!$B$2:$B$269,"mineria",Datos_long!$D$2:$D$269,"Litio")=0,"",SUMIFS(Datos_long!$E$2:$E$269,Datos_long!$A$2:$A$269,$A10,Datos_long!$B$2:$B$269,"mineria",Datos_long!$D$2:$D$269,"Litio"))</f>
        <v>384</v>
      </c>
      <c r="L10" s="9">
        <f>IF(COUNTIFS(Datos_long!$A$2:$A$269,$A10,Datos_long!$B$2:$B$269,"mineria",Datos_long!$D$2:$D$269,"Oro y Plata")=0,"",SUMIFS(Datos_long!$E$2:$E$269,Datos_long!$A$2:$A$269,$A10,Datos_long!$B$2:$B$269,"mineria",Datos_long!$D$2:$D$269,"Oro y Plata"))</f>
        <v>21</v>
      </c>
      <c r="M10" s="9">
        <f>IF(COUNTIFS(Datos_long!$A$2:$A$269,$A10,Datos_long!$B$2:$B$269,"infra",Datos_long!$D$2:$D$269,"Puerto")=0,"",SUMIFS(Datos_long!$E$2:$E$269,Datos_long!$A$2:$A$269,$A10,Datos_long!$B$2:$B$269,"infra",Datos_long!$D$2:$D$269,"Puerto"))</f>
        <v>0</v>
      </c>
      <c r="N10" s="12">
        <f t="shared" si="0"/>
        <v>2700</v>
      </c>
    </row>
    <row r="11" spans="1:14">
      <c r="A11">
        <v>2033</v>
      </c>
      <c r="B11" s="9">
        <f>SUMIFS(Datos_long!$E$2:$E$269,Datos_long!$A$2:$A$269,$A11,Datos_long!$B$2:$B$269,"energia")</f>
        <v>0</v>
      </c>
      <c r="C11" s="9">
        <f>SUMIFS(Datos_long!$E$2:$E$269,Datos_long!$A$2:$A$269,$A11,Datos_long!$B$2:$B$269,"petroleo")</f>
        <v>1907</v>
      </c>
      <c r="D11" s="9">
        <f>SUMIFS(Datos_long!$E$2:$E$269,Datos_long!$A$2:$A$269,$A11,Datos_long!$B$2:$B$269,"mineria")</f>
        <v>195</v>
      </c>
      <c r="E11" s="9">
        <f>SUMIFS(Datos_long!$E$2:$E$269,Datos_long!$A$2:$A$269,$A11,Datos_long!$B$2:$B$269,"siderurgia")</f>
        <v>0</v>
      </c>
      <c r="F11" s="9">
        <f>SUMIFS(Datos_long!$E$2:$E$269,Datos_long!$A$2:$A$269,$A11,Datos_long!$B$2:$B$269,"infra")</f>
        <v>0</v>
      </c>
      <c r="G11" s="9">
        <f>IF(COUNTIFS(Datos_long!$A$2:$A$269,$A11,Datos_long!$B$2:$B$269,"petroleo",Datos_long!$D$2:$D$269,"Midstream")=0,"",SUMIFS(Datos_long!$E$2:$E$269,Datos_long!$A$2:$A$269,$A11,Datos_long!$B$2:$B$269,"petroleo",Datos_long!$D$2:$D$269,"Midstream"))</f>
        <v>689</v>
      </c>
      <c r="H11" s="9">
        <f>IF(COUNTIFS(Datos_long!$A$2:$A$269,$A11,Datos_long!$B$2:$B$269,"petroleo",Datos_long!$D$2:$D$269,"Upstream")=0,"",SUMIFS(Datos_long!$E$2:$E$269,Datos_long!$A$2:$A$269,$A11,Datos_long!$B$2:$B$269,"petroleo",Datos_long!$D$2:$D$269,"Upstream"))</f>
        <v>1218</v>
      </c>
      <c r="I11" s="9" t="str">
        <f>IF(COUNTIFS(Datos_long!$A$2:$A$269,$A11,Datos_long!$B$2:$B$269,"petroleo",Datos_long!$D$2:$D$269,"Fertilizantes")=0,"",SUMIFS(Datos_long!$E$2:$E$269,Datos_long!$A$2:$A$269,$A11,Datos_long!$B$2:$B$269,"petroleo",Datos_long!$D$2:$D$269,"Fertilizantes"))</f>
        <v/>
      </c>
      <c r="J11" s="9">
        <f>IF(COUNTIFS(Datos_long!$A$2:$A$269,$A11,Datos_long!$B$2:$B$269,"mineria",Datos_long!$D$2:$D$269,"Cobre")=0,"",SUMIFS(Datos_long!$E$2:$E$269,Datos_long!$A$2:$A$269,$A11,Datos_long!$B$2:$B$269,"mineria",Datos_long!$D$2:$D$269,"Cobre"))</f>
        <v>106</v>
      </c>
      <c r="K11" s="9">
        <f>IF(COUNTIFS(Datos_long!$A$2:$A$269,$A11,Datos_long!$B$2:$B$269,"mineria",Datos_long!$D$2:$D$269,"Litio")=0,"",SUMIFS(Datos_long!$E$2:$E$269,Datos_long!$A$2:$A$269,$A11,Datos_long!$B$2:$B$269,"mineria",Datos_long!$D$2:$D$269,"Litio"))</f>
        <v>75</v>
      </c>
      <c r="L11" s="9">
        <f>IF(COUNTIFS(Datos_long!$A$2:$A$269,$A11,Datos_long!$B$2:$B$269,"mineria",Datos_long!$D$2:$D$269,"Oro y Plata")=0,"",SUMIFS(Datos_long!$E$2:$E$269,Datos_long!$A$2:$A$269,$A11,Datos_long!$B$2:$B$269,"mineria",Datos_long!$D$2:$D$269,"Oro y Plata"))</f>
        <v>14</v>
      </c>
      <c r="M11" s="9">
        <f>IF(COUNTIFS(Datos_long!$A$2:$A$269,$A11,Datos_long!$B$2:$B$269,"infra",Datos_long!$D$2:$D$269,"Puerto")=0,"",SUMIFS(Datos_long!$E$2:$E$269,Datos_long!$A$2:$A$269,$A11,Datos_long!$B$2:$B$269,"infra",Datos_long!$D$2:$D$269,"Puerto"))</f>
        <v>0</v>
      </c>
      <c r="N11" s="12">
        <f t="shared" si="0"/>
        <v>2102</v>
      </c>
    </row>
    <row r="12" spans="1:14">
      <c r="A12">
        <v>2034</v>
      </c>
      <c r="B12" s="9">
        <f>SUMIFS(Datos_long!$E$2:$E$269,Datos_long!$A$2:$A$269,$A12,Datos_long!$B$2:$B$269,"energia")</f>
        <v>0</v>
      </c>
      <c r="C12" s="9">
        <f>SUMIFS(Datos_long!$E$2:$E$269,Datos_long!$A$2:$A$269,$A12,Datos_long!$B$2:$B$269,"petroleo")</f>
        <v>1907</v>
      </c>
      <c r="D12" s="9">
        <f>SUMIFS(Datos_long!$E$2:$E$269,Datos_long!$A$2:$A$269,$A12,Datos_long!$B$2:$B$269,"mineria")</f>
        <v>247</v>
      </c>
      <c r="E12" s="9">
        <f>SUMIFS(Datos_long!$E$2:$E$269,Datos_long!$A$2:$A$269,$A12,Datos_long!$B$2:$B$269,"siderurgia")</f>
        <v>0</v>
      </c>
      <c r="F12" s="9">
        <f>SUMIFS(Datos_long!$E$2:$E$269,Datos_long!$A$2:$A$269,$A12,Datos_long!$B$2:$B$269,"infra")</f>
        <v>0</v>
      </c>
      <c r="G12" s="9">
        <f>IF(COUNTIFS(Datos_long!$A$2:$A$269,$A12,Datos_long!$B$2:$B$269,"petroleo",Datos_long!$D$2:$D$269,"Midstream")=0,"",SUMIFS(Datos_long!$E$2:$E$269,Datos_long!$A$2:$A$269,$A12,Datos_long!$B$2:$B$269,"petroleo",Datos_long!$D$2:$D$269,"Midstream"))</f>
        <v>693</v>
      </c>
      <c r="H12" s="9">
        <f>IF(COUNTIFS(Datos_long!$A$2:$A$269,$A12,Datos_long!$B$2:$B$269,"petroleo",Datos_long!$D$2:$D$269,"Upstream")=0,"",SUMIFS(Datos_long!$E$2:$E$269,Datos_long!$A$2:$A$269,$A12,Datos_long!$B$2:$B$269,"petroleo",Datos_long!$D$2:$D$269,"Upstream"))</f>
        <v>1214</v>
      </c>
      <c r="I12" s="9" t="str">
        <f>IF(COUNTIFS(Datos_long!$A$2:$A$269,$A12,Datos_long!$B$2:$B$269,"petroleo",Datos_long!$D$2:$D$269,"Fertilizantes")=0,"",SUMIFS(Datos_long!$E$2:$E$269,Datos_long!$A$2:$A$269,$A12,Datos_long!$B$2:$B$269,"petroleo",Datos_long!$D$2:$D$269,"Fertilizantes"))</f>
        <v/>
      </c>
      <c r="J12" s="9">
        <f>IF(COUNTIFS(Datos_long!$A$2:$A$269,$A12,Datos_long!$B$2:$B$269,"mineria",Datos_long!$D$2:$D$269,"Cobre")=0,"",SUMIFS(Datos_long!$E$2:$E$269,Datos_long!$A$2:$A$269,$A12,Datos_long!$B$2:$B$269,"mineria",Datos_long!$D$2:$D$269,"Cobre"))</f>
        <v>229</v>
      </c>
      <c r="K12" s="9">
        <f>IF(COUNTIFS(Datos_long!$A$2:$A$269,$A12,Datos_long!$B$2:$B$269,"mineria",Datos_long!$D$2:$D$269,"Litio")=0,"",SUMIFS(Datos_long!$E$2:$E$269,Datos_long!$A$2:$A$269,$A12,Datos_long!$B$2:$B$269,"mineria",Datos_long!$D$2:$D$269,"Litio"))</f>
        <v>0</v>
      </c>
      <c r="L12" s="9">
        <f>IF(COUNTIFS(Datos_long!$A$2:$A$269,$A12,Datos_long!$B$2:$B$269,"mineria",Datos_long!$D$2:$D$269,"Oro y Plata")=0,"",SUMIFS(Datos_long!$E$2:$E$269,Datos_long!$A$2:$A$269,$A12,Datos_long!$B$2:$B$269,"mineria",Datos_long!$D$2:$D$269,"Oro y Plata"))</f>
        <v>18</v>
      </c>
      <c r="M12" s="9">
        <f>IF(COUNTIFS(Datos_long!$A$2:$A$269,$A12,Datos_long!$B$2:$B$269,"infra",Datos_long!$D$2:$D$269,"Puerto")=0,"",SUMIFS(Datos_long!$E$2:$E$269,Datos_long!$A$2:$A$269,$A12,Datos_long!$B$2:$B$269,"infra",Datos_long!$D$2:$D$269,"Puerto"))</f>
        <v>0</v>
      </c>
      <c r="N12" s="12">
        <f t="shared" si="0"/>
        <v>2154</v>
      </c>
    </row>
    <row r="13" spans="1:14">
      <c r="A13">
        <v>2035</v>
      </c>
      <c r="B13" s="9">
        <f>SUMIFS(Datos_long!$E$2:$E$269,Datos_long!$A$2:$A$269,$A13,Datos_long!$B$2:$B$269,"energia")</f>
        <v>0</v>
      </c>
      <c r="C13" s="9">
        <f>SUMIFS(Datos_long!$E$2:$E$269,Datos_long!$A$2:$A$269,$A13,Datos_long!$B$2:$B$269,"petroleo")</f>
        <v>1882</v>
      </c>
      <c r="D13" s="9">
        <f>SUMIFS(Datos_long!$E$2:$E$269,Datos_long!$A$2:$A$269,$A13,Datos_long!$B$2:$B$269,"mineria")</f>
        <v>141</v>
      </c>
      <c r="E13" s="9">
        <f>SUMIFS(Datos_long!$E$2:$E$269,Datos_long!$A$2:$A$269,$A13,Datos_long!$B$2:$B$269,"siderurgia")</f>
        <v>0</v>
      </c>
      <c r="F13" s="9">
        <f>SUMIFS(Datos_long!$E$2:$E$269,Datos_long!$A$2:$A$269,$A13,Datos_long!$B$2:$B$269,"infra")</f>
        <v>0</v>
      </c>
      <c r="G13" s="9">
        <f>IF(COUNTIFS(Datos_long!$A$2:$A$269,$A13,Datos_long!$B$2:$B$269,"petroleo",Datos_long!$D$2:$D$269,"Midstream")=0,"",SUMIFS(Datos_long!$E$2:$E$269,Datos_long!$A$2:$A$269,$A13,Datos_long!$B$2:$B$269,"petroleo",Datos_long!$D$2:$D$269,"Midstream"))</f>
        <v>698</v>
      </c>
      <c r="H13" s="9">
        <f>IF(COUNTIFS(Datos_long!$A$2:$A$269,$A13,Datos_long!$B$2:$B$269,"petroleo",Datos_long!$D$2:$D$269,"Upstream")=0,"",SUMIFS(Datos_long!$E$2:$E$269,Datos_long!$A$2:$A$269,$A13,Datos_long!$B$2:$B$269,"petroleo",Datos_long!$D$2:$D$269,"Upstream"))</f>
        <v>1184</v>
      </c>
      <c r="I13" s="9" t="str">
        <f>IF(COUNTIFS(Datos_long!$A$2:$A$269,$A13,Datos_long!$B$2:$B$269,"petroleo",Datos_long!$D$2:$D$269,"Fertilizantes")=0,"",SUMIFS(Datos_long!$E$2:$E$269,Datos_long!$A$2:$A$269,$A13,Datos_long!$B$2:$B$269,"petroleo",Datos_long!$D$2:$D$269,"Fertilizantes"))</f>
        <v/>
      </c>
      <c r="J13" s="9">
        <f>IF(COUNTIFS(Datos_long!$A$2:$A$269,$A13,Datos_long!$B$2:$B$269,"mineria",Datos_long!$D$2:$D$269,"Cobre")=0,"",SUMIFS(Datos_long!$E$2:$E$269,Datos_long!$A$2:$A$269,$A13,Datos_long!$B$2:$B$269,"mineria",Datos_long!$D$2:$D$269,"Cobre"))</f>
        <v>119</v>
      </c>
      <c r="K13" s="9">
        <f>IF(COUNTIFS(Datos_long!$A$2:$A$269,$A13,Datos_long!$B$2:$B$269,"mineria",Datos_long!$D$2:$D$269,"Litio")=0,"",SUMIFS(Datos_long!$E$2:$E$269,Datos_long!$A$2:$A$269,$A13,Datos_long!$B$2:$B$269,"mineria",Datos_long!$D$2:$D$269,"Litio"))</f>
        <v>0</v>
      </c>
      <c r="L13" s="9">
        <f>IF(COUNTIFS(Datos_long!$A$2:$A$269,$A13,Datos_long!$B$2:$B$269,"mineria",Datos_long!$D$2:$D$269,"Oro y Plata")=0,"",SUMIFS(Datos_long!$E$2:$E$269,Datos_long!$A$2:$A$269,$A13,Datos_long!$B$2:$B$269,"mineria",Datos_long!$D$2:$D$269,"Oro y Plata"))</f>
        <v>22</v>
      </c>
      <c r="M13" s="9">
        <f>IF(COUNTIFS(Datos_long!$A$2:$A$269,$A13,Datos_long!$B$2:$B$269,"infra",Datos_long!$D$2:$D$269,"Puerto")=0,"",SUMIFS(Datos_long!$E$2:$E$269,Datos_long!$A$2:$A$269,$A13,Datos_long!$B$2:$B$269,"infra",Datos_long!$D$2:$D$269,"Puerto"))</f>
        <v>0</v>
      </c>
      <c r="N13" s="12">
        <f t="shared" si="0"/>
        <v>2023</v>
      </c>
    </row>
    <row r="14" spans="1:14">
      <c r="A14">
        <v>2036</v>
      </c>
      <c r="B14" s="9">
        <f>SUMIFS(Datos_long!$E$2:$E$269,Datos_long!$A$2:$A$269,$A14,Datos_long!$B$2:$B$269,"energia")</f>
        <v>0</v>
      </c>
      <c r="C14" s="9">
        <f>SUMIFS(Datos_long!$E$2:$E$269,Datos_long!$A$2:$A$269,$A14,Datos_long!$B$2:$B$269,"petroleo")</f>
        <v>1729</v>
      </c>
      <c r="D14" s="9">
        <f>SUMIFS(Datos_long!$E$2:$E$269,Datos_long!$A$2:$A$269,$A14,Datos_long!$B$2:$B$269,"mineria")</f>
        <v>143</v>
      </c>
      <c r="E14" s="9">
        <f>SUMIFS(Datos_long!$E$2:$E$269,Datos_long!$A$2:$A$269,$A14,Datos_long!$B$2:$B$269,"siderurgia")</f>
        <v>0</v>
      </c>
      <c r="F14" s="9">
        <f>SUMIFS(Datos_long!$E$2:$E$269,Datos_long!$A$2:$A$269,$A14,Datos_long!$B$2:$B$269,"infra")</f>
        <v>0</v>
      </c>
      <c r="G14" s="9">
        <f>IF(COUNTIFS(Datos_long!$A$2:$A$269,$A14,Datos_long!$B$2:$B$269,"petroleo",Datos_long!$D$2:$D$269,"Midstream")=0,"",SUMIFS(Datos_long!$E$2:$E$269,Datos_long!$A$2:$A$269,$A14,Datos_long!$B$2:$B$269,"petroleo",Datos_long!$D$2:$D$269,"Midstream"))</f>
        <v>702</v>
      </c>
      <c r="H14" s="9">
        <f>IF(COUNTIFS(Datos_long!$A$2:$A$269,$A14,Datos_long!$B$2:$B$269,"petroleo",Datos_long!$D$2:$D$269,"Upstream")=0,"",SUMIFS(Datos_long!$E$2:$E$269,Datos_long!$A$2:$A$269,$A14,Datos_long!$B$2:$B$269,"petroleo",Datos_long!$D$2:$D$269,"Upstream"))</f>
        <v>1027</v>
      </c>
      <c r="I14" s="9" t="str">
        <f>IF(COUNTIFS(Datos_long!$A$2:$A$269,$A14,Datos_long!$B$2:$B$269,"petroleo",Datos_long!$D$2:$D$269,"Fertilizantes")=0,"",SUMIFS(Datos_long!$E$2:$E$269,Datos_long!$A$2:$A$269,$A14,Datos_long!$B$2:$B$269,"petroleo",Datos_long!$D$2:$D$269,"Fertilizantes"))</f>
        <v/>
      </c>
      <c r="J14" s="9">
        <f>IF(COUNTIFS(Datos_long!$A$2:$A$269,$A14,Datos_long!$B$2:$B$269,"mineria",Datos_long!$D$2:$D$269,"Cobre")=0,"",SUMIFS(Datos_long!$E$2:$E$269,Datos_long!$A$2:$A$269,$A14,Datos_long!$B$2:$B$269,"mineria",Datos_long!$D$2:$D$269,"Cobre"))</f>
        <v>126</v>
      </c>
      <c r="K14" s="9">
        <f>IF(COUNTIFS(Datos_long!$A$2:$A$269,$A14,Datos_long!$B$2:$B$269,"mineria",Datos_long!$D$2:$D$269,"Litio")=0,"",SUMIFS(Datos_long!$E$2:$E$269,Datos_long!$A$2:$A$269,$A14,Datos_long!$B$2:$B$269,"mineria",Datos_long!$D$2:$D$269,"Litio"))</f>
        <v>0</v>
      </c>
      <c r="L14" s="9">
        <f>IF(COUNTIFS(Datos_long!$A$2:$A$269,$A14,Datos_long!$B$2:$B$269,"mineria",Datos_long!$D$2:$D$269,"Oro y Plata")=0,"",SUMIFS(Datos_long!$E$2:$E$269,Datos_long!$A$2:$A$269,$A14,Datos_long!$B$2:$B$269,"mineria",Datos_long!$D$2:$D$269,"Oro y Plata"))</f>
        <v>17</v>
      </c>
      <c r="M14" s="9">
        <f>IF(COUNTIFS(Datos_long!$A$2:$A$269,$A14,Datos_long!$B$2:$B$269,"infra",Datos_long!$D$2:$D$269,"Puerto")=0,"",SUMIFS(Datos_long!$E$2:$E$269,Datos_long!$A$2:$A$269,$A14,Datos_long!$B$2:$B$269,"infra",Datos_long!$D$2:$D$269,"Puerto"))</f>
        <v>0</v>
      </c>
      <c r="N14" s="12">
        <f t="shared" si="0"/>
        <v>1872</v>
      </c>
    </row>
    <row r="15" spans="1:14">
      <c r="A15">
        <v>2037</v>
      </c>
      <c r="B15" s="9">
        <f>SUMIFS(Datos_long!$E$2:$E$269,Datos_long!$A$2:$A$269,$A15,Datos_long!$B$2:$B$269,"energia")</f>
        <v>0</v>
      </c>
      <c r="C15" s="9">
        <f>SUMIFS(Datos_long!$E$2:$E$269,Datos_long!$A$2:$A$269,$A15,Datos_long!$B$2:$B$269,"petroleo")</f>
        <v>1543</v>
      </c>
      <c r="D15" s="9">
        <f>SUMIFS(Datos_long!$E$2:$E$269,Datos_long!$A$2:$A$269,$A15,Datos_long!$B$2:$B$269,"mineria")</f>
        <v>162</v>
      </c>
      <c r="E15" s="9">
        <f>SUMIFS(Datos_long!$E$2:$E$269,Datos_long!$A$2:$A$269,$A15,Datos_long!$B$2:$B$269,"siderurgia")</f>
        <v>0</v>
      </c>
      <c r="F15" s="9">
        <f>SUMIFS(Datos_long!$E$2:$E$269,Datos_long!$A$2:$A$269,$A15,Datos_long!$B$2:$B$269,"infra")</f>
        <v>0</v>
      </c>
      <c r="G15" s="9">
        <f>IF(COUNTIFS(Datos_long!$A$2:$A$269,$A15,Datos_long!$B$2:$B$269,"petroleo",Datos_long!$D$2:$D$269,"Midstream")=0,"",SUMIFS(Datos_long!$E$2:$E$269,Datos_long!$A$2:$A$269,$A15,Datos_long!$B$2:$B$269,"petroleo",Datos_long!$D$2:$D$269,"Midstream"))</f>
        <v>706</v>
      </c>
      <c r="H15" s="9">
        <f>IF(COUNTIFS(Datos_long!$A$2:$A$269,$A15,Datos_long!$B$2:$B$269,"petroleo",Datos_long!$D$2:$D$269,"Upstream")=0,"",SUMIFS(Datos_long!$E$2:$E$269,Datos_long!$A$2:$A$269,$A15,Datos_long!$B$2:$B$269,"petroleo",Datos_long!$D$2:$D$269,"Upstream"))</f>
        <v>837</v>
      </c>
      <c r="I15" s="9" t="str">
        <f>IF(COUNTIFS(Datos_long!$A$2:$A$269,$A15,Datos_long!$B$2:$B$269,"petroleo",Datos_long!$D$2:$D$269,"Fertilizantes")=0,"",SUMIFS(Datos_long!$E$2:$E$269,Datos_long!$A$2:$A$269,$A15,Datos_long!$B$2:$B$269,"petroleo",Datos_long!$D$2:$D$269,"Fertilizantes"))</f>
        <v/>
      </c>
      <c r="J15" s="9">
        <f>IF(COUNTIFS(Datos_long!$A$2:$A$269,$A15,Datos_long!$B$2:$B$269,"mineria",Datos_long!$D$2:$D$269,"Cobre")=0,"",SUMIFS(Datos_long!$E$2:$E$269,Datos_long!$A$2:$A$269,$A15,Datos_long!$B$2:$B$269,"mineria",Datos_long!$D$2:$D$269,"Cobre"))</f>
        <v>141</v>
      </c>
      <c r="K15" s="9">
        <f>IF(COUNTIFS(Datos_long!$A$2:$A$269,$A15,Datos_long!$B$2:$B$269,"mineria",Datos_long!$D$2:$D$269,"Litio")=0,"",SUMIFS(Datos_long!$E$2:$E$269,Datos_long!$A$2:$A$269,$A15,Datos_long!$B$2:$B$269,"mineria",Datos_long!$D$2:$D$269,"Litio"))</f>
        <v>0</v>
      </c>
      <c r="L15" s="9">
        <f>IF(COUNTIFS(Datos_long!$A$2:$A$269,$A15,Datos_long!$B$2:$B$269,"mineria",Datos_long!$D$2:$D$269,"Oro y Plata")=0,"",SUMIFS(Datos_long!$E$2:$E$269,Datos_long!$A$2:$A$269,$A15,Datos_long!$B$2:$B$269,"mineria",Datos_long!$D$2:$D$269,"Oro y Plata"))</f>
        <v>21</v>
      </c>
      <c r="M15" s="9">
        <f>IF(COUNTIFS(Datos_long!$A$2:$A$269,$A15,Datos_long!$B$2:$B$269,"infra",Datos_long!$D$2:$D$269,"Puerto")=0,"",SUMIFS(Datos_long!$E$2:$E$269,Datos_long!$A$2:$A$269,$A15,Datos_long!$B$2:$B$269,"infra",Datos_long!$D$2:$D$269,"Puerto"))</f>
        <v>0</v>
      </c>
      <c r="N15" s="12">
        <f t="shared" si="0"/>
        <v>1705</v>
      </c>
    </row>
    <row r="16" spans="1:14">
      <c r="A16">
        <v>2038</v>
      </c>
      <c r="B16" s="9">
        <f>SUMIFS(Datos_long!$E$2:$E$269,Datos_long!$A$2:$A$269,$A16,Datos_long!$B$2:$B$269,"energia")</f>
        <v>0</v>
      </c>
      <c r="C16" s="9">
        <f>SUMIFS(Datos_long!$E$2:$E$269,Datos_long!$A$2:$A$269,$A16,Datos_long!$B$2:$B$269,"petroleo")</f>
        <v>1491</v>
      </c>
      <c r="D16" s="9">
        <f>SUMIFS(Datos_long!$E$2:$E$269,Datos_long!$A$2:$A$269,$A16,Datos_long!$B$2:$B$269,"mineria")</f>
        <v>134</v>
      </c>
      <c r="E16" s="9">
        <f>SUMIFS(Datos_long!$E$2:$E$269,Datos_long!$A$2:$A$269,$A16,Datos_long!$B$2:$B$269,"siderurgia")</f>
        <v>0</v>
      </c>
      <c r="F16" s="9">
        <f>SUMIFS(Datos_long!$E$2:$E$269,Datos_long!$A$2:$A$269,$A16,Datos_long!$B$2:$B$269,"infra")</f>
        <v>0</v>
      </c>
      <c r="G16" s="9">
        <f>IF(COUNTIFS(Datos_long!$A$2:$A$269,$A16,Datos_long!$B$2:$B$269,"petroleo",Datos_long!$D$2:$D$269,"Midstream")=0,"",SUMIFS(Datos_long!$E$2:$E$269,Datos_long!$A$2:$A$269,$A16,Datos_long!$B$2:$B$269,"petroleo",Datos_long!$D$2:$D$269,"Midstream"))</f>
        <v>711</v>
      </c>
      <c r="H16" s="9">
        <f>IF(COUNTIFS(Datos_long!$A$2:$A$269,$A16,Datos_long!$B$2:$B$269,"petroleo",Datos_long!$D$2:$D$269,"Upstream")=0,"",SUMIFS(Datos_long!$E$2:$E$269,Datos_long!$A$2:$A$269,$A16,Datos_long!$B$2:$B$269,"petroleo",Datos_long!$D$2:$D$269,"Upstream"))</f>
        <v>780</v>
      </c>
      <c r="I16" s="9" t="str">
        <f>IF(COUNTIFS(Datos_long!$A$2:$A$269,$A16,Datos_long!$B$2:$B$269,"petroleo",Datos_long!$D$2:$D$269,"Fertilizantes")=0,"",SUMIFS(Datos_long!$E$2:$E$269,Datos_long!$A$2:$A$269,$A16,Datos_long!$B$2:$B$269,"petroleo",Datos_long!$D$2:$D$269,"Fertilizantes"))</f>
        <v/>
      </c>
      <c r="J16" s="9">
        <f>IF(COUNTIFS(Datos_long!$A$2:$A$269,$A16,Datos_long!$B$2:$B$269,"mineria",Datos_long!$D$2:$D$269,"Cobre")=0,"",SUMIFS(Datos_long!$E$2:$E$269,Datos_long!$A$2:$A$269,$A16,Datos_long!$B$2:$B$269,"mineria",Datos_long!$D$2:$D$269,"Cobre"))</f>
        <v>116</v>
      </c>
      <c r="K16" s="9">
        <f>IF(COUNTIFS(Datos_long!$A$2:$A$269,$A16,Datos_long!$B$2:$B$269,"mineria",Datos_long!$D$2:$D$269,"Litio")=0,"",SUMIFS(Datos_long!$E$2:$E$269,Datos_long!$A$2:$A$269,$A16,Datos_long!$B$2:$B$269,"mineria",Datos_long!$D$2:$D$269,"Litio"))</f>
        <v>0</v>
      </c>
      <c r="L16" s="9">
        <f>IF(COUNTIFS(Datos_long!$A$2:$A$269,$A16,Datos_long!$B$2:$B$269,"mineria",Datos_long!$D$2:$D$269,"Oro y Plata")=0,"",SUMIFS(Datos_long!$E$2:$E$269,Datos_long!$A$2:$A$269,$A16,Datos_long!$B$2:$B$269,"mineria",Datos_long!$D$2:$D$269,"Oro y Plata"))</f>
        <v>18</v>
      </c>
      <c r="M16" s="9">
        <f>IF(COUNTIFS(Datos_long!$A$2:$A$269,$A16,Datos_long!$B$2:$B$269,"infra",Datos_long!$D$2:$D$269,"Puerto")=0,"",SUMIFS(Datos_long!$E$2:$E$269,Datos_long!$A$2:$A$269,$A16,Datos_long!$B$2:$B$269,"infra",Datos_long!$D$2:$D$269,"Puerto"))</f>
        <v>0</v>
      </c>
      <c r="N16" s="12">
        <f t="shared" si="0"/>
        <v>1625</v>
      </c>
    </row>
    <row r="17" spans="1:14">
      <c r="A17">
        <v>2039</v>
      </c>
      <c r="B17" s="9">
        <f>SUMIFS(Datos_long!$E$2:$E$269,Datos_long!$A$2:$A$269,$A17,Datos_long!$B$2:$B$269,"energia")</f>
        <v>0</v>
      </c>
      <c r="C17" s="9">
        <f>SUMIFS(Datos_long!$E$2:$E$269,Datos_long!$A$2:$A$269,$A17,Datos_long!$B$2:$B$269,"petroleo")</f>
        <v>1603</v>
      </c>
      <c r="D17" s="9">
        <f>SUMIFS(Datos_long!$E$2:$E$269,Datos_long!$A$2:$A$269,$A17,Datos_long!$B$2:$B$269,"mineria")</f>
        <v>145</v>
      </c>
      <c r="E17" s="9">
        <f>SUMIFS(Datos_long!$E$2:$E$269,Datos_long!$A$2:$A$269,$A17,Datos_long!$B$2:$B$269,"siderurgia")</f>
        <v>0</v>
      </c>
      <c r="F17" s="9">
        <f>SUMIFS(Datos_long!$E$2:$E$269,Datos_long!$A$2:$A$269,$A17,Datos_long!$B$2:$B$269,"infra")</f>
        <v>0</v>
      </c>
      <c r="G17" s="9">
        <f>IF(COUNTIFS(Datos_long!$A$2:$A$269,$A17,Datos_long!$B$2:$B$269,"petroleo",Datos_long!$D$2:$D$269,"Midstream")=0,"",SUMIFS(Datos_long!$E$2:$E$269,Datos_long!$A$2:$A$269,$A17,Datos_long!$B$2:$B$269,"petroleo",Datos_long!$D$2:$D$269,"Midstream"))</f>
        <v>716</v>
      </c>
      <c r="H17" s="9">
        <f>IF(COUNTIFS(Datos_long!$A$2:$A$269,$A17,Datos_long!$B$2:$B$269,"petroleo",Datos_long!$D$2:$D$269,"Upstream")=0,"",SUMIFS(Datos_long!$E$2:$E$269,Datos_long!$A$2:$A$269,$A17,Datos_long!$B$2:$B$269,"petroleo",Datos_long!$D$2:$D$269,"Upstream"))</f>
        <v>887</v>
      </c>
      <c r="I17" s="9" t="str">
        <f>IF(COUNTIFS(Datos_long!$A$2:$A$269,$A17,Datos_long!$B$2:$B$269,"petroleo",Datos_long!$D$2:$D$269,"Fertilizantes")=0,"",SUMIFS(Datos_long!$E$2:$E$269,Datos_long!$A$2:$A$269,$A17,Datos_long!$B$2:$B$269,"petroleo",Datos_long!$D$2:$D$269,"Fertilizantes"))</f>
        <v/>
      </c>
      <c r="J17" s="9">
        <f>IF(COUNTIFS(Datos_long!$A$2:$A$269,$A17,Datos_long!$B$2:$B$269,"mineria",Datos_long!$D$2:$D$269,"Cobre")=0,"",SUMIFS(Datos_long!$E$2:$E$269,Datos_long!$A$2:$A$269,$A17,Datos_long!$B$2:$B$269,"mineria",Datos_long!$D$2:$D$269,"Cobre"))</f>
        <v>127</v>
      </c>
      <c r="K17" s="9">
        <f>IF(COUNTIFS(Datos_long!$A$2:$A$269,$A17,Datos_long!$B$2:$B$269,"mineria",Datos_long!$D$2:$D$269,"Litio")=0,"",SUMIFS(Datos_long!$E$2:$E$269,Datos_long!$A$2:$A$269,$A17,Datos_long!$B$2:$B$269,"mineria",Datos_long!$D$2:$D$269,"Litio"))</f>
        <v>0</v>
      </c>
      <c r="L17" s="9">
        <f>IF(COUNTIFS(Datos_long!$A$2:$A$269,$A17,Datos_long!$B$2:$B$269,"mineria",Datos_long!$D$2:$D$269,"Oro y Plata")=0,"",SUMIFS(Datos_long!$E$2:$E$269,Datos_long!$A$2:$A$269,$A17,Datos_long!$B$2:$B$269,"mineria",Datos_long!$D$2:$D$269,"Oro y Plata"))</f>
        <v>18</v>
      </c>
      <c r="M17" s="9">
        <f>IF(COUNTIFS(Datos_long!$A$2:$A$269,$A17,Datos_long!$B$2:$B$269,"infra",Datos_long!$D$2:$D$269,"Puerto")=0,"",SUMIFS(Datos_long!$E$2:$E$269,Datos_long!$A$2:$A$269,$A17,Datos_long!$B$2:$B$269,"infra",Datos_long!$D$2:$D$269,"Puerto"))</f>
        <v>0</v>
      </c>
      <c r="N17" s="12">
        <f t="shared" si="0"/>
        <v>1748</v>
      </c>
    </row>
    <row r="18" spans="1:14">
      <c r="A18">
        <v>2040</v>
      </c>
      <c r="B18" s="9">
        <f>SUMIFS(Datos_long!$E$2:$E$269,Datos_long!$A$2:$A$269,$A18,Datos_long!$B$2:$B$269,"energia")</f>
        <v>0</v>
      </c>
      <c r="C18" s="9">
        <f>SUMIFS(Datos_long!$E$2:$E$269,Datos_long!$A$2:$A$269,$A18,Datos_long!$B$2:$B$269,"petroleo")</f>
        <v>1773</v>
      </c>
      <c r="D18" s="9">
        <f>SUMIFS(Datos_long!$E$2:$E$269,Datos_long!$A$2:$A$269,$A18,Datos_long!$B$2:$B$269,"mineria")</f>
        <v>140</v>
      </c>
      <c r="E18" s="9">
        <f>SUMIFS(Datos_long!$E$2:$E$269,Datos_long!$A$2:$A$269,$A18,Datos_long!$B$2:$B$269,"siderurgia")</f>
        <v>0</v>
      </c>
      <c r="F18" s="9">
        <f>SUMIFS(Datos_long!$E$2:$E$269,Datos_long!$A$2:$A$269,$A18,Datos_long!$B$2:$B$269,"infra")</f>
        <v>0</v>
      </c>
      <c r="G18" s="9">
        <f>IF(COUNTIFS(Datos_long!$A$2:$A$269,$A18,Datos_long!$B$2:$B$269,"petroleo",Datos_long!$D$2:$D$269,"Midstream")=0,"",SUMIFS(Datos_long!$E$2:$E$269,Datos_long!$A$2:$A$269,$A18,Datos_long!$B$2:$B$269,"petroleo",Datos_long!$D$2:$D$269,"Midstream"))</f>
        <v>720</v>
      </c>
      <c r="H18" s="9">
        <f>IF(COUNTIFS(Datos_long!$A$2:$A$269,$A18,Datos_long!$B$2:$B$269,"petroleo",Datos_long!$D$2:$D$269,"Upstream")=0,"",SUMIFS(Datos_long!$E$2:$E$269,Datos_long!$A$2:$A$269,$A18,Datos_long!$B$2:$B$269,"petroleo",Datos_long!$D$2:$D$269,"Upstream"))</f>
        <v>1053</v>
      </c>
      <c r="I18" s="9" t="str">
        <f>IF(COUNTIFS(Datos_long!$A$2:$A$269,$A18,Datos_long!$B$2:$B$269,"petroleo",Datos_long!$D$2:$D$269,"Fertilizantes")=0,"",SUMIFS(Datos_long!$E$2:$E$269,Datos_long!$A$2:$A$269,$A18,Datos_long!$B$2:$B$269,"petroleo",Datos_long!$D$2:$D$269,"Fertilizantes"))</f>
        <v/>
      </c>
      <c r="J18" s="9">
        <f>IF(COUNTIFS(Datos_long!$A$2:$A$269,$A18,Datos_long!$B$2:$B$269,"mineria",Datos_long!$D$2:$D$269,"Cobre")=0,"",SUMIFS(Datos_long!$E$2:$E$269,Datos_long!$A$2:$A$269,$A18,Datos_long!$B$2:$B$269,"mineria",Datos_long!$D$2:$D$269,"Cobre"))</f>
        <v>126</v>
      </c>
      <c r="K18" s="9">
        <f>IF(COUNTIFS(Datos_long!$A$2:$A$269,$A18,Datos_long!$B$2:$B$269,"mineria",Datos_long!$D$2:$D$269,"Litio")=0,"",SUMIFS(Datos_long!$E$2:$E$269,Datos_long!$A$2:$A$269,$A18,Datos_long!$B$2:$B$269,"mineria",Datos_long!$D$2:$D$269,"Litio"))</f>
        <v>0</v>
      </c>
      <c r="L18" s="9">
        <f>IF(COUNTIFS(Datos_long!$A$2:$A$269,$A18,Datos_long!$B$2:$B$269,"mineria",Datos_long!$D$2:$D$269,"Oro y Plata")=0,"",SUMIFS(Datos_long!$E$2:$E$269,Datos_long!$A$2:$A$269,$A18,Datos_long!$B$2:$B$269,"mineria",Datos_long!$D$2:$D$269,"Oro y Plata"))</f>
        <v>14</v>
      </c>
      <c r="M18" s="9">
        <f>IF(COUNTIFS(Datos_long!$A$2:$A$269,$A18,Datos_long!$B$2:$B$269,"infra",Datos_long!$D$2:$D$269,"Puerto")=0,"",SUMIFS(Datos_long!$E$2:$E$269,Datos_long!$A$2:$A$269,$A18,Datos_long!$B$2:$B$269,"infra",Datos_long!$D$2:$D$269,"Puerto"))</f>
        <v>0</v>
      </c>
      <c r="N18" s="12">
        <f t="shared" si="0"/>
        <v>1913</v>
      </c>
    </row>
    <row r="19" spans="1:14">
      <c r="A19">
        <v>2041</v>
      </c>
      <c r="B19" s="9">
        <f>SUMIFS(Datos_long!$E$2:$E$269,Datos_long!$A$2:$A$269,$A19,Datos_long!$B$2:$B$269,"energia")</f>
        <v>0</v>
      </c>
      <c r="C19" s="9">
        <f>SUMIFS(Datos_long!$E$2:$E$269,Datos_long!$A$2:$A$269,$A19,Datos_long!$B$2:$B$269,"petroleo")</f>
        <v>1657</v>
      </c>
      <c r="D19" s="9">
        <f>SUMIFS(Datos_long!$E$2:$E$269,Datos_long!$A$2:$A$269,$A19,Datos_long!$B$2:$B$269,"mineria")</f>
        <v>188</v>
      </c>
      <c r="E19" s="9">
        <f>SUMIFS(Datos_long!$E$2:$E$269,Datos_long!$A$2:$A$269,$A19,Datos_long!$B$2:$B$269,"siderurgia")</f>
        <v>0</v>
      </c>
      <c r="F19" s="9">
        <f>SUMIFS(Datos_long!$E$2:$E$269,Datos_long!$A$2:$A$269,$A19,Datos_long!$B$2:$B$269,"infra")</f>
        <v>0</v>
      </c>
      <c r="G19" s="9">
        <f>IF(COUNTIFS(Datos_long!$A$2:$A$269,$A19,Datos_long!$B$2:$B$269,"petroleo",Datos_long!$D$2:$D$269,"Midstream")=0,"",SUMIFS(Datos_long!$E$2:$E$269,Datos_long!$A$2:$A$269,$A19,Datos_long!$B$2:$B$269,"petroleo",Datos_long!$D$2:$D$269,"Midstream"))</f>
        <v>725</v>
      </c>
      <c r="H19" s="9">
        <f>IF(COUNTIFS(Datos_long!$A$2:$A$269,$A19,Datos_long!$B$2:$B$269,"petroleo",Datos_long!$D$2:$D$269,"Upstream")=0,"",SUMIFS(Datos_long!$E$2:$E$269,Datos_long!$A$2:$A$269,$A19,Datos_long!$B$2:$B$269,"petroleo",Datos_long!$D$2:$D$269,"Upstream"))</f>
        <v>932</v>
      </c>
      <c r="I19" s="9" t="str">
        <f>IF(COUNTIFS(Datos_long!$A$2:$A$269,$A19,Datos_long!$B$2:$B$269,"petroleo",Datos_long!$D$2:$D$269,"Fertilizantes")=0,"",SUMIFS(Datos_long!$E$2:$E$269,Datos_long!$A$2:$A$269,$A19,Datos_long!$B$2:$B$269,"petroleo",Datos_long!$D$2:$D$269,"Fertilizantes"))</f>
        <v/>
      </c>
      <c r="J19" s="9">
        <f>IF(COUNTIFS(Datos_long!$A$2:$A$269,$A19,Datos_long!$B$2:$B$269,"mineria",Datos_long!$D$2:$D$269,"Cobre")=0,"",SUMIFS(Datos_long!$E$2:$E$269,Datos_long!$A$2:$A$269,$A19,Datos_long!$B$2:$B$269,"mineria",Datos_long!$D$2:$D$269,"Cobre"))</f>
        <v>172</v>
      </c>
      <c r="K19" s="9">
        <f>IF(COUNTIFS(Datos_long!$A$2:$A$269,$A19,Datos_long!$B$2:$B$269,"mineria",Datos_long!$D$2:$D$269,"Litio")=0,"",SUMIFS(Datos_long!$E$2:$E$269,Datos_long!$A$2:$A$269,$A19,Datos_long!$B$2:$B$269,"mineria",Datos_long!$D$2:$D$269,"Litio"))</f>
        <v>0</v>
      </c>
      <c r="L19" s="9">
        <f>IF(COUNTIFS(Datos_long!$A$2:$A$269,$A19,Datos_long!$B$2:$B$269,"mineria",Datos_long!$D$2:$D$269,"Oro y Plata")=0,"",SUMIFS(Datos_long!$E$2:$E$269,Datos_long!$A$2:$A$269,$A19,Datos_long!$B$2:$B$269,"mineria",Datos_long!$D$2:$D$269,"Oro y Plata"))</f>
        <v>16</v>
      </c>
      <c r="M19" s="9">
        <f>IF(COUNTIFS(Datos_long!$A$2:$A$269,$A19,Datos_long!$B$2:$B$269,"infra",Datos_long!$D$2:$D$269,"Puerto")=0,"",SUMIFS(Datos_long!$E$2:$E$269,Datos_long!$A$2:$A$269,$A19,Datos_long!$B$2:$B$269,"infra",Datos_long!$D$2:$D$269,"Puerto"))</f>
        <v>0</v>
      </c>
      <c r="N19" s="12">
        <f t="shared" si="0"/>
        <v>1845</v>
      </c>
    </row>
    <row r="20" spans="1:14">
      <c r="A20">
        <v>2042</v>
      </c>
      <c r="B20" s="9">
        <f>SUMIFS(Datos_long!$E$2:$E$269,Datos_long!$A$2:$A$269,$A20,Datos_long!$B$2:$B$269,"energia")</f>
        <v>0</v>
      </c>
      <c r="C20" s="9">
        <f>SUMIFS(Datos_long!$E$2:$E$269,Datos_long!$A$2:$A$269,$A20,Datos_long!$B$2:$B$269,"petroleo")</f>
        <v>863</v>
      </c>
      <c r="D20" s="9">
        <f>SUMIFS(Datos_long!$E$2:$E$269,Datos_long!$A$2:$A$269,$A20,Datos_long!$B$2:$B$269,"mineria")</f>
        <v>227</v>
      </c>
      <c r="E20" s="9">
        <f>SUMIFS(Datos_long!$E$2:$E$269,Datos_long!$A$2:$A$269,$A20,Datos_long!$B$2:$B$269,"siderurgia")</f>
        <v>0</v>
      </c>
      <c r="F20" s="9">
        <f>SUMIFS(Datos_long!$E$2:$E$269,Datos_long!$A$2:$A$269,$A20,Datos_long!$B$2:$B$269,"infra")</f>
        <v>0</v>
      </c>
      <c r="G20" s="9">
        <f>IF(COUNTIFS(Datos_long!$A$2:$A$269,$A20,Datos_long!$B$2:$B$269,"petroleo",Datos_long!$D$2:$D$269,"Midstream")=0,"",SUMIFS(Datos_long!$E$2:$E$269,Datos_long!$A$2:$A$269,$A20,Datos_long!$B$2:$B$269,"petroleo",Datos_long!$D$2:$D$269,"Midstream"))</f>
        <v>730</v>
      </c>
      <c r="H20" s="9">
        <f>IF(COUNTIFS(Datos_long!$A$2:$A$269,$A20,Datos_long!$B$2:$B$269,"petroleo",Datos_long!$D$2:$D$269,"Upstream")=0,"",SUMIFS(Datos_long!$E$2:$E$269,Datos_long!$A$2:$A$269,$A20,Datos_long!$B$2:$B$269,"petroleo",Datos_long!$D$2:$D$269,"Upstream"))</f>
        <v>133</v>
      </c>
      <c r="I20" s="9" t="str">
        <f>IF(COUNTIFS(Datos_long!$A$2:$A$269,$A20,Datos_long!$B$2:$B$269,"petroleo",Datos_long!$D$2:$D$269,"Fertilizantes")=0,"",SUMIFS(Datos_long!$E$2:$E$269,Datos_long!$A$2:$A$269,$A20,Datos_long!$B$2:$B$269,"petroleo",Datos_long!$D$2:$D$269,"Fertilizantes"))</f>
        <v/>
      </c>
      <c r="J20" s="9">
        <f>IF(COUNTIFS(Datos_long!$A$2:$A$269,$A20,Datos_long!$B$2:$B$269,"mineria",Datos_long!$D$2:$D$269,"Cobre")=0,"",SUMIFS(Datos_long!$E$2:$E$269,Datos_long!$A$2:$A$269,$A20,Datos_long!$B$2:$B$269,"mineria",Datos_long!$D$2:$D$269,"Cobre"))</f>
        <v>208</v>
      </c>
      <c r="K20" s="9">
        <f>IF(COUNTIFS(Datos_long!$A$2:$A$269,$A20,Datos_long!$B$2:$B$269,"mineria",Datos_long!$D$2:$D$269,"Litio")=0,"",SUMIFS(Datos_long!$E$2:$E$269,Datos_long!$A$2:$A$269,$A20,Datos_long!$B$2:$B$269,"mineria",Datos_long!$D$2:$D$269,"Litio"))</f>
        <v>0</v>
      </c>
      <c r="L20" s="9">
        <f>IF(COUNTIFS(Datos_long!$A$2:$A$269,$A20,Datos_long!$B$2:$B$269,"mineria",Datos_long!$D$2:$D$269,"Oro y Plata")=0,"",SUMIFS(Datos_long!$E$2:$E$269,Datos_long!$A$2:$A$269,$A20,Datos_long!$B$2:$B$269,"mineria",Datos_long!$D$2:$D$269,"Oro y Plata"))</f>
        <v>19</v>
      </c>
      <c r="M20" s="9">
        <f>IF(COUNTIFS(Datos_long!$A$2:$A$269,$A20,Datos_long!$B$2:$B$269,"infra",Datos_long!$D$2:$D$269,"Puerto")=0,"",SUMIFS(Datos_long!$E$2:$E$269,Datos_long!$A$2:$A$269,$A20,Datos_long!$B$2:$B$269,"infra",Datos_long!$D$2:$D$269,"Puerto"))</f>
        <v>0</v>
      </c>
      <c r="N20" s="12">
        <f t="shared" si="0"/>
        <v>1090</v>
      </c>
    </row>
    <row r="21" spans="1:14">
      <c r="A21">
        <v>2043</v>
      </c>
      <c r="B21" s="9">
        <f>SUMIFS(Datos_long!$E$2:$E$269,Datos_long!$A$2:$A$269,$A21,Datos_long!$B$2:$B$269,"energia")</f>
        <v>0</v>
      </c>
      <c r="C21" s="9">
        <f>SUMIFS(Datos_long!$E$2:$E$269,Datos_long!$A$2:$A$269,$A21,Datos_long!$B$2:$B$269,"petroleo")</f>
        <v>735</v>
      </c>
      <c r="D21" s="9">
        <f>SUMIFS(Datos_long!$E$2:$E$269,Datos_long!$A$2:$A$269,$A21,Datos_long!$B$2:$B$269,"mineria")</f>
        <v>242</v>
      </c>
      <c r="E21" s="9">
        <f>SUMIFS(Datos_long!$E$2:$E$269,Datos_long!$A$2:$A$269,$A21,Datos_long!$B$2:$B$269,"siderurgia")</f>
        <v>0</v>
      </c>
      <c r="F21" s="9">
        <f>SUMIFS(Datos_long!$E$2:$E$269,Datos_long!$A$2:$A$269,$A21,Datos_long!$B$2:$B$269,"infra")</f>
        <v>0</v>
      </c>
      <c r="G21" s="9">
        <f>IF(COUNTIFS(Datos_long!$A$2:$A$269,$A21,Datos_long!$B$2:$B$269,"petroleo",Datos_long!$D$2:$D$269,"Midstream")=0,"",SUMIFS(Datos_long!$E$2:$E$269,Datos_long!$A$2:$A$269,$A21,Datos_long!$B$2:$B$269,"petroleo",Datos_long!$D$2:$D$269,"Midstream"))</f>
        <v>735</v>
      </c>
      <c r="H21" s="9">
        <f>IF(COUNTIFS(Datos_long!$A$2:$A$269,$A21,Datos_long!$B$2:$B$269,"petroleo",Datos_long!$D$2:$D$269,"Upstream")=0,"",SUMIFS(Datos_long!$E$2:$E$269,Datos_long!$A$2:$A$269,$A21,Datos_long!$B$2:$B$269,"petroleo",Datos_long!$D$2:$D$269,"Upstream"))</f>
        <v>0</v>
      </c>
      <c r="I21" s="9" t="str">
        <f>IF(COUNTIFS(Datos_long!$A$2:$A$269,$A21,Datos_long!$B$2:$B$269,"petroleo",Datos_long!$D$2:$D$269,"Fertilizantes")=0,"",SUMIFS(Datos_long!$E$2:$E$269,Datos_long!$A$2:$A$269,$A21,Datos_long!$B$2:$B$269,"petroleo",Datos_long!$D$2:$D$269,"Fertilizantes"))</f>
        <v/>
      </c>
      <c r="J21" s="9">
        <f>IF(COUNTIFS(Datos_long!$A$2:$A$269,$A21,Datos_long!$B$2:$B$269,"mineria",Datos_long!$D$2:$D$269,"Cobre")=0,"",SUMIFS(Datos_long!$E$2:$E$269,Datos_long!$A$2:$A$269,$A21,Datos_long!$B$2:$B$269,"mineria",Datos_long!$D$2:$D$269,"Cobre"))</f>
        <v>180</v>
      </c>
      <c r="K21" s="9">
        <f>IF(COUNTIFS(Datos_long!$A$2:$A$269,$A21,Datos_long!$B$2:$B$269,"mineria",Datos_long!$D$2:$D$269,"Litio")=0,"",SUMIFS(Datos_long!$E$2:$E$269,Datos_long!$A$2:$A$269,$A21,Datos_long!$B$2:$B$269,"mineria",Datos_long!$D$2:$D$269,"Litio"))</f>
        <v>0</v>
      </c>
      <c r="L21" s="9">
        <f>IF(COUNTIFS(Datos_long!$A$2:$A$269,$A21,Datos_long!$B$2:$B$269,"mineria",Datos_long!$D$2:$D$269,"Oro y Plata")=0,"",SUMIFS(Datos_long!$E$2:$E$269,Datos_long!$A$2:$A$269,$A21,Datos_long!$B$2:$B$269,"mineria",Datos_long!$D$2:$D$269,"Oro y Plata"))</f>
        <v>62</v>
      </c>
      <c r="M21" s="9">
        <f>IF(COUNTIFS(Datos_long!$A$2:$A$269,$A21,Datos_long!$B$2:$B$269,"infra",Datos_long!$D$2:$D$269,"Puerto")=0,"",SUMIFS(Datos_long!$E$2:$E$269,Datos_long!$A$2:$A$269,$A21,Datos_long!$B$2:$B$269,"infra",Datos_long!$D$2:$D$269,"Puerto"))</f>
        <v>0</v>
      </c>
      <c r="N21" s="12">
        <f t="shared" si="0"/>
        <v>977</v>
      </c>
    </row>
    <row r="22" spans="1:14">
      <c r="A22">
        <v>2044</v>
      </c>
      <c r="B22" s="9">
        <f>SUMIFS(Datos_long!$E$2:$E$269,Datos_long!$A$2:$A$269,$A22,Datos_long!$B$2:$B$269,"energia")</f>
        <v>0</v>
      </c>
      <c r="C22" s="9">
        <f>SUMIFS(Datos_long!$E$2:$E$269,Datos_long!$A$2:$A$269,$A22,Datos_long!$B$2:$B$269,"petroleo")</f>
        <v>873</v>
      </c>
      <c r="D22" s="9">
        <f>SUMIFS(Datos_long!$E$2:$E$269,Datos_long!$A$2:$A$269,$A22,Datos_long!$B$2:$B$269,"mineria")</f>
        <v>307</v>
      </c>
      <c r="E22" s="9">
        <f>SUMIFS(Datos_long!$E$2:$E$269,Datos_long!$A$2:$A$269,$A22,Datos_long!$B$2:$B$269,"siderurgia")</f>
        <v>0</v>
      </c>
      <c r="F22" s="9">
        <f>SUMIFS(Datos_long!$E$2:$E$269,Datos_long!$A$2:$A$269,$A22,Datos_long!$B$2:$B$269,"infra")</f>
        <v>0</v>
      </c>
      <c r="G22" s="9">
        <f>IF(COUNTIFS(Datos_long!$A$2:$A$269,$A22,Datos_long!$B$2:$B$269,"petroleo",Datos_long!$D$2:$D$269,"Midstream")=0,"",SUMIFS(Datos_long!$E$2:$E$269,Datos_long!$A$2:$A$269,$A22,Datos_long!$B$2:$B$269,"petroleo",Datos_long!$D$2:$D$269,"Midstream"))</f>
        <v>740</v>
      </c>
      <c r="H22" s="9">
        <f>IF(COUNTIFS(Datos_long!$A$2:$A$269,$A22,Datos_long!$B$2:$B$269,"petroleo",Datos_long!$D$2:$D$269,"Upstream")=0,"",SUMIFS(Datos_long!$E$2:$E$269,Datos_long!$A$2:$A$269,$A22,Datos_long!$B$2:$B$269,"petroleo",Datos_long!$D$2:$D$269,"Upstream"))</f>
        <v>133</v>
      </c>
      <c r="I22" s="9" t="str">
        <f>IF(COUNTIFS(Datos_long!$A$2:$A$269,$A22,Datos_long!$B$2:$B$269,"petroleo",Datos_long!$D$2:$D$269,"Fertilizantes")=0,"",SUMIFS(Datos_long!$E$2:$E$269,Datos_long!$A$2:$A$269,$A22,Datos_long!$B$2:$B$269,"petroleo",Datos_long!$D$2:$D$269,"Fertilizantes"))</f>
        <v/>
      </c>
      <c r="J22" s="9">
        <f>IF(COUNTIFS(Datos_long!$A$2:$A$269,$A22,Datos_long!$B$2:$B$269,"mineria",Datos_long!$D$2:$D$269,"Cobre")=0,"",SUMIFS(Datos_long!$E$2:$E$269,Datos_long!$A$2:$A$269,$A22,Datos_long!$B$2:$B$269,"mineria",Datos_long!$D$2:$D$269,"Cobre"))</f>
        <v>280</v>
      </c>
      <c r="K22" s="9">
        <f>IF(COUNTIFS(Datos_long!$A$2:$A$269,$A22,Datos_long!$B$2:$B$269,"mineria",Datos_long!$D$2:$D$269,"Litio")=0,"",SUMIFS(Datos_long!$E$2:$E$269,Datos_long!$A$2:$A$269,$A22,Datos_long!$B$2:$B$269,"mineria",Datos_long!$D$2:$D$269,"Litio"))</f>
        <v>0</v>
      </c>
      <c r="L22" s="9">
        <f>IF(COUNTIFS(Datos_long!$A$2:$A$269,$A22,Datos_long!$B$2:$B$269,"mineria",Datos_long!$D$2:$D$269,"Oro y Plata")=0,"",SUMIFS(Datos_long!$E$2:$E$269,Datos_long!$A$2:$A$269,$A22,Datos_long!$B$2:$B$269,"mineria",Datos_long!$D$2:$D$269,"Oro y Plata"))</f>
        <v>27</v>
      </c>
      <c r="M22" s="9">
        <f>IF(COUNTIFS(Datos_long!$A$2:$A$269,$A22,Datos_long!$B$2:$B$269,"infra",Datos_long!$D$2:$D$269,"Puerto")=0,"",SUMIFS(Datos_long!$E$2:$E$269,Datos_long!$A$2:$A$269,$A22,Datos_long!$B$2:$B$269,"infra",Datos_long!$D$2:$D$269,"Puerto"))</f>
        <v>0</v>
      </c>
      <c r="N22" s="12">
        <f t="shared" si="0"/>
        <v>1180</v>
      </c>
    </row>
    <row r="23" spans="1:14">
      <c r="A23">
        <v>2045</v>
      </c>
      <c r="B23" s="9">
        <f>SUMIFS(Datos_long!$E$2:$E$269,Datos_long!$A$2:$A$269,$A23,Datos_long!$B$2:$B$269,"energia")</f>
        <v>0</v>
      </c>
      <c r="C23" s="9">
        <f>SUMIFS(Datos_long!$E$2:$E$269,Datos_long!$A$2:$A$269,$A23,Datos_long!$B$2:$B$269,"petroleo")</f>
        <v>878</v>
      </c>
      <c r="D23" s="9">
        <f>SUMIFS(Datos_long!$E$2:$E$269,Datos_long!$A$2:$A$269,$A23,Datos_long!$B$2:$B$269,"mineria")</f>
        <v>163</v>
      </c>
      <c r="E23" s="9">
        <f>SUMIFS(Datos_long!$E$2:$E$269,Datos_long!$A$2:$A$269,$A23,Datos_long!$B$2:$B$269,"siderurgia")</f>
        <v>0</v>
      </c>
      <c r="F23" s="9">
        <f>SUMIFS(Datos_long!$E$2:$E$269,Datos_long!$A$2:$A$269,$A23,Datos_long!$B$2:$B$269,"infra")</f>
        <v>0</v>
      </c>
      <c r="G23" s="9">
        <f>IF(COUNTIFS(Datos_long!$A$2:$A$269,$A23,Datos_long!$B$2:$B$269,"petroleo",Datos_long!$D$2:$D$269,"Midstream")=0,"",SUMIFS(Datos_long!$E$2:$E$269,Datos_long!$A$2:$A$269,$A23,Datos_long!$B$2:$B$269,"petroleo",Datos_long!$D$2:$D$269,"Midstream"))</f>
        <v>745</v>
      </c>
      <c r="H23" s="9">
        <f>IF(COUNTIFS(Datos_long!$A$2:$A$269,$A23,Datos_long!$B$2:$B$269,"petroleo",Datos_long!$D$2:$D$269,"Upstream")=0,"",SUMIFS(Datos_long!$E$2:$E$269,Datos_long!$A$2:$A$269,$A23,Datos_long!$B$2:$B$269,"petroleo",Datos_long!$D$2:$D$269,"Upstream"))</f>
        <v>133</v>
      </c>
      <c r="I23" s="9" t="str">
        <f>IF(COUNTIFS(Datos_long!$A$2:$A$269,$A23,Datos_long!$B$2:$B$269,"petroleo",Datos_long!$D$2:$D$269,"Fertilizantes")=0,"",SUMIFS(Datos_long!$E$2:$E$269,Datos_long!$A$2:$A$269,$A23,Datos_long!$B$2:$B$269,"petroleo",Datos_long!$D$2:$D$269,"Fertilizantes"))</f>
        <v/>
      </c>
      <c r="J23" s="9">
        <f>IF(COUNTIFS(Datos_long!$A$2:$A$269,$A23,Datos_long!$B$2:$B$269,"mineria",Datos_long!$D$2:$D$269,"Cobre")=0,"",SUMIFS(Datos_long!$E$2:$E$269,Datos_long!$A$2:$A$269,$A23,Datos_long!$B$2:$B$269,"mineria",Datos_long!$D$2:$D$269,"Cobre"))</f>
        <v>136</v>
      </c>
      <c r="K23" s="9">
        <f>IF(COUNTIFS(Datos_long!$A$2:$A$269,$A23,Datos_long!$B$2:$B$269,"mineria",Datos_long!$D$2:$D$269,"Litio")=0,"",SUMIFS(Datos_long!$E$2:$E$269,Datos_long!$A$2:$A$269,$A23,Datos_long!$B$2:$B$269,"mineria",Datos_long!$D$2:$D$269,"Litio"))</f>
        <v>0</v>
      </c>
      <c r="L23" s="9">
        <f>IF(COUNTIFS(Datos_long!$A$2:$A$269,$A23,Datos_long!$B$2:$B$269,"mineria",Datos_long!$D$2:$D$269,"Oro y Plata")=0,"",SUMIFS(Datos_long!$E$2:$E$269,Datos_long!$A$2:$A$269,$A23,Datos_long!$B$2:$B$269,"mineria",Datos_long!$D$2:$D$269,"Oro y Plata"))</f>
        <v>27</v>
      </c>
      <c r="M23" s="9">
        <f>IF(COUNTIFS(Datos_long!$A$2:$A$269,$A23,Datos_long!$B$2:$B$269,"infra",Datos_long!$D$2:$D$269,"Puerto")=0,"",SUMIFS(Datos_long!$E$2:$E$269,Datos_long!$A$2:$A$269,$A23,Datos_long!$B$2:$B$269,"infra",Datos_long!$D$2:$D$269,"Puerto"))</f>
        <v>0</v>
      </c>
      <c r="N23" s="12">
        <f t="shared" si="0"/>
        <v>1041</v>
      </c>
    </row>
    <row r="24" spans="1:14">
      <c r="A24">
        <v>2046</v>
      </c>
      <c r="B24" s="9">
        <f>SUMIFS(Datos_long!$E$2:$E$269,Datos_long!$A$2:$A$269,$A24,Datos_long!$B$2:$B$269,"energia")</f>
        <v>0</v>
      </c>
      <c r="C24" s="9">
        <f>SUMIFS(Datos_long!$E$2:$E$269,Datos_long!$A$2:$A$269,$A24,Datos_long!$B$2:$B$269,"petroleo")</f>
        <v>884</v>
      </c>
      <c r="D24" s="9">
        <f>SUMIFS(Datos_long!$E$2:$E$269,Datos_long!$A$2:$A$269,$A24,Datos_long!$B$2:$B$269,"mineria")</f>
        <v>74</v>
      </c>
      <c r="E24" s="9">
        <f>SUMIFS(Datos_long!$E$2:$E$269,Datos_long!$A$2:$A$269,$A24,Datos_long!$B$2:$B$269,"siderurgia")</f>
        <v>0</v>
      </c>
      <c r="F24" s="9">
        <f>SUMIFS(Datos_long!$E$2:$E$269,Datos_long!$A$2:$A$269,$A24,Datos_long!$B$2:$B$269,"infra")</f>
        <v>0</v>
      </c>
      <c r="G24" s="9">
        <f>IF(COUNTIFS(Datos_long!$A$2:$A$269,$A24,Datos_long!$B$2:$B$269,"petroleo",Datos_long!$D$2:$D$269,"Midstream")=0,"",SUMIFS(Datos_long!$E$2:$E$269,Datos_long!$A$2:$A$269,$A24,Datos_long!$B$2:$B$269,"petroleo",Datos_long!$D$2:$D$269,"Midstream"))</f>
        <v>751</v>
      </c>
      <c r="H24" s="9">
        <f>IF(COUNTIFS(Datos_long!$A$2:$A$269,$A24,Datos_long!$B$2:$B$269,"petroleo",Datos_long!$D$2:$D$269,"Upstream")=0,"",SUMIFS(Datos_long!$E$2:$E$269,Datos_long!$A$2:$A$269,$A24,Datos_long!$B$2:$B$269,"petroleo",Datos_long!$D$2:$D$269,"Upstream"))</f>
        <v>133</v>
      </c>
      <c r="I24" s="9" t="str">
        <f>IF(COUNTIFS(Datos_long!$A$2:$A$269,$A24,Datos_long!$B$2:$B$269,"petroleo",Datos_long!$D$2:$D$269,"Fertilizantes")=0,"",SUMIFS(Datos_long!$E$2:$E$269,Datos_long!$A$2:$A$269,$A24,Datos_long!$B$2:$B$269,"petroleo",Datos_long!$D$2:$D$269,"Fertilizantes"))</f>
        <v/>
      </c>
      <c r="J24" s="9">
        <f>IF(COUNTIFS(Datos_long!$A$2:$A$269,$A24,Datos_long!$B$2:$B$269,"mineria",Datos_long!$D$2:$D$269,"Cobre")=0,"",SUMIFS(Datos_long!$E$2:$E$269,Datos_long!$A$2:$A$269,$A24,Datos_long!$B$2:$B$269,"mineria",Datos_long!$D$2:$D$269,"Cobre"))</f>
        <v>47</v>
      </c>
      <c r="K24" s="9">
        <f>IF(COUNTIFS(Datos_long!$A$2:$A$269,$A24,Datos_long!$B$2:$B$269,"mineria",Datos_long!$D$2:$D$269,"Litio")=0,"",SUMIFS(Datos_long!$E$2:$E$269,Datos_long!$A$2:$A$269,$A24,Datos_long!$B$2:$B$269,"mineria",Datos_long!$D$2:$D$269,"Litio"))</f>
        <v>0</v>
      </c>
      <c r="L24" s="9">
        <f>IF(COUNTIFS(Datos_long!$A$2:$A$269,$A24,Datos_long!$B$2:$B$269,"mineria",Datos_long!$D$2:$D$269,"Oro y Plata")=0,"",SUMIFS(Datos_long!$E$2:$E$269,Datos_long!$A$2:$A$269,$A24,Datos_long!$B$2:$B$269,"mineria",Datos_long!$D$2:$D$269,"Oro y Plata"))</f>
        <v>27</v>
      </c>
      <c r="M24" s="9">
        <f>IF(COUNTIFS(Datos_long!$A$2:$A$269,$A24,Datos_long!$B$2:$B$269,"infra",Datos_long!$D$2:$D$269,"Puerto")=0,"",SUMIFS(Datos_long!$E$2:$E$269,Datos_long!$A$2:$A$269,$A24,Datos_long!$B$2:$B$269,"infra",Datos_long!$D$2:$D$269,"Puerto"))</f>
        <v>0</v>
      </c>
      <c r="N24" s="12">
        <f t="shared" si="0"/>
        <v>958</v>
      </c>
    </row>
    <row r="25" spans="1:14">
      <c r="A25">
        <v>2047</v>
      </c>
      <c r="B25" s="9">
        <f>SUMIFS(Datos_long!$E$2:$E$269,Datos_long!$A$2:$A$269,$A25,Datos_long!$B$2:$B$269,"energia")</f>
        <v>0</v>
      </c>
      <c r="C25" s="9">
        <f>SUMIFS(Datos_long!$E$2:$E$269,Datos_long!$A$2:$A$269,$A25,Datos_long!$B$2:$B$269,"petroleo")</f>
        <v>890</v>
      </c>
      <c r="D25" s="9">
        <f>SUMIFS(Datos_long!$E$2:$E$269,Datos_long!$A$2:$A$269,$A25,Datos_long!$B$2:$B$269,"mineria")</f>
        <v>54</v>
      </c>
      <c r="E25" s="9">
        <f>SUMIFS(Datos_long!$E$2:$E$269,Datos_long!$A$2:$A$269,$A25,Datos_long!$B$2:$B$269,"siderurgia")</f>
        <v>0</v>
      </c>
      <c r="F25" s="9">
        <f>SUMIFS(Datos_long!$E$2:$E$269,Datos_long!$A$2:$A$269,$A25,Datos_long!$B$2:$B$269,"infra")</f>
        <v>0</v>
      </c>
      <c r="G25" s="9">
        <f>IF(COUNTIFS(Datos_long!$A$2:$A$269,$A25,Datos_long!$B$2:$B$269,"petroleo",Datos_long!$D$2:$D$269,"Midstream")=0,"",SUMIFS(Datos_long!$E$2:$E$269,Datos_long!$A$2:$A$269,$A25,Datos_long!$B$2:$B$269,"petroleo",Datos_long!$D$2:$D$269,"Midstream"))</f>
        <v>757</v>
      </c>
      <c r="H25" s="9">
        <f>IF(COUNTIFS(Datos_long!$A$2:$A$269,$A25,Datos_long!$B$2:$B$269,"petroleo",Datos_long!$D$2:$D$269,"Upstream")=0,"",SUMIFS(Datos_long!$E$2:$E$269,Datos_long!$A$2:$A$269,$A25,Datos_long!$B$2:$B$269,"petroleo",Datos_long!$D$2:$D$269,"Upstream"))</f>
        <v>133</v>
      </c>
      <c r="I25" s="9" t="str">
        <f>IF(COUNTIFS(Datos_long!$A$2:$A$269,$A25,Datos_long!$B$2:$B$269,"petroleo",Datos_long!$D$2:$D$269,"Fertilizantes")=0,"",SUMIFS(Datos_long!$E$2:$E$269,Datos_long!$A$2:$A$269,$A25,Datos_long!$B$2:$B$269,"petroleo",Datos_long!$D$2:$D$269,"Fertilizantes"))</f>
        <v/>
      </c>
      <c r="J25" s="9">
        <f>IF(COUNTIFS(Datos_long!$A$2:$A$269,$A25,Datos_long!$B$2:$B$269,"mineria",Datos_long!$D$2:$D$269,"Cobre")=0,"",SUMIFS(Datos_long!$E$2:$E$269,Datos_long!$A$2:$A$269,$A25,Datos_long!$B$2:$B$269,"mineria",Datos_long!$D$2:$D$269,"Cobre"))</f>
        <v>47</v>
      </c>
      <c r="K25" s="9">
        <f>IF(COUNTIFS(Datos_long!$A$2:$A$269,$A25,Datos_long!$B$2:$B$269,"mineria",Datos_long!$D$2:$D$269,"Litio")=0,"",SUMIFS(Datos_long!$E$2:$E$269,Datos_long!$A$2:$A$269,$A25,Datos_long!$B$2:$B$269,"mineria",Datos_long!$D$2:$D$269,"Litio"))</f>
        <v>0</v>
      </c>
      <c r="L25" s="9">
        <f>IF(COUNTIFS(Datos_long!$A$2:$A$269,$A25,Datos_long!$B$2:$B$269,"mineria",Datos_long!$D$2:$D$269,"Oro y Plata")=0,"",SUMIFS(Datos_long!$E$2:$E$269,Datos_long!$A$2:$A$269,$A25,Datos_long!$B$2:$B$269,"mineria",Datos_long!$D$2:$D$269,"Oro y Plata"))</f>
        <v>7</v>
      </c>
      <c r="M25" s="9">
        <f>IF(COUNTIFS(Datos_long!$A$2:$A$269,$A25,Datos_long!$B$2:$B$269,"infra",Datos_long!$D$2:$D$269,"Puerto")=0,"",SUMIFS(Datos_long!$E$2:$E$269,Datos_long!$A$2:$A$269,$A25,Datos_long!$B$2:$B$269,"infra",Datos_long!$D$2:$D$269,"Puerto"))</f>
        <v>0</v>
      </c>
      <c r="N25" s="12">
        <f t="shared" si="0"/>
        <v>944</v>
      </c>
    </row>
    <row r="26" spans="1:14">
      <c r="A26">
        <v>2048</v>
      </c>
      <c r="B26" s="9">
        <f>SUMIFS(Datos_long!$E$2:$E$269,Datos_long!$A$2:$A$269,$A26,Datos_long!$B$2:$B$269,"energia")</f>
        <v>0</v>
      </c>
      <c r="C26" s="9">
        <f>SUMIFS(Datos_long!$E$2:$E$269,Datos_long!$A$2:$A$269,$A26,Datos_long!$B$2:$B$269,"petroleo")</f>
        <v>569</v>
      </c>
      <c r="D26" s="9">
        <f>SUMIFS(Datos_long!$E$2:$E$269,Datos_long!$A$2:$A$269,$A26,Datos_long!$B$2:$B$269,"mineria")</f>
        <v>51</v>
      </c>
      <c r="E26" s="9">
        <f>SUMIFS(Datos_long!$E$2:$E$269,Datos_long!$A$2:$A$269,$A26,Datos_long!$B$2:$B$269,"siderurgia")</f>
        <v>0</v>
      </c>
      <c r="F26" s="9">
        <f>SUMIFS(Datos_long!$E$2:$E$269,Datos_long!$A$2:$A$269,$A26,Datos_long!$B$2:$B$269,"infra")</f>
        <v>0</v>
      </c>
      <c r="G26" s="9">
        <f>IF(COUNTIFS(Datos_long!$A$2:$A$269,$A26,Datos_long!$B$2:$B$269,"petroleo",Datos_long!$D$2:$D$269,"Midstream")=0,"",SUMIFS(Datos_long!$E$2:$E$269,Datos_long!$A$2:$A$269,$A26,Datos_long!$B$2:$B$269,"petroleo",Datos_long!$D$2:$D$269,"Midstream"))</f>
        <v>436</v>
      </c>
      <c r="H26" s="9">
        <f>IF(COUNTIFS(Datos_long!$A$2:$A$269,$A26,Datos_long!$B$2:$B$269,"petroleo",Datos_long!$D$2:$D$269,"Upstream")=0,"",SUMIFS(Datos_long!$E$2:$E$269,Datos_long!$A$2:$A$269,$A26,Datos_long!$B$2:$B$269,"petroleo",Datos_long!$D$2:$D$269,"Upstream"))</f>
        <v>133</v>
      </c>
      <c r="I26" s="9" t="str">
        <f>IF(COUNTIFS(Datos_long!$A$2:$A$269,$A26,Datos_long!$B$2:$B$269,"petroleo",Datos_long!$D$2:$D$269,"Fertilizantes")=0,"",SUMIFS(Datos_long!$E$2:$E$269,Datos_long!$A$2:$A$269,$A26,Datos_long!$B$2:$B$269,"petroleo",Datos_long!$D$2:$D$269,"Fertilizantes"))</f>
        <v/>
      </c>
      <c r="J26" s="9">
        <f>IF(COUNTIFS(Datos_long!$A$2:$A$269,$A26,Datos_long!$B$2:$B$269,"mineria",Datos_long!$D$2:$D$269,"Cobre")=0,"",SUMIFS(Datos_long!$E$2:$E$269,Datos_long!$A$2:$A$269,$A26,Datos_long!$B$2:$B$269,"mineria",Datos_long!$D$2:$D$269,"Cobre"))</f>
        <v>44</v>
      </c>
      <c r="K26" s="9">
        <f>IF(COUNTIFS(Datos_long!$A$2:$A$269,$A26,Datos_long!$B$2:$B$269,"mineria",Datos_long!$D$2:$D$269,"Litio")=0,"",SUMIFS(Datos_long!$E$2:$E$269,Datos_long!$A$2:$A$269,$A26,Datos_long!$B$2:$B$269,"mineria",Datos_long!$D$2:$D$269,"Litio"))</f>
        <v>0</v>
      </c>
      <c r="L26" s="9">
        <f>IF(COUNTIFS(Datos_long!$A$2:$A$269,$A26,Datos_long!$B$2:$B$269,"mineria",Datos_long!$D$2:$D$269,"Oro y Plata")=0,"",SUMIFS(Datos_long!$E$2:$E$269,Datos_long!$A$2:$A$269,$A26,Datos_long!$B$2:$B$269,"mineria",Datos_long!$D$2:$D$269,"Oro y Plata"))</f>
        <v>7</v>
      </c>
      <c r="M26" s="9">
        <f>IF(COUNTIFS(Datos_long!$A$2:$A$269,$A26,Datos_long!$B$2:$B$269,"infra",Datos_long!$D$2:$D$269,"Puerto")=0,"",SUMIFS(Datos_long!$E$2:$E$269,Datos_long!$A$2:$A$269,$A26,Datos_long!$B$2:$B$269,"infra",Datos_long!$D$2:$D$269,"Puerto"))</f>
        <v>0</v>
      </c>
      <c r="N26" s="12">
        <f t="shared" si="0"/>
        <v>620</v>
      </c>
    </row>
    <row r="27" spans="1:14">
      <c r="A27">
        <v>2049</v>
      </c>
      <c r="B27" s="9">
        <f>SUMIFS(Datos_long!$E$2:$E$269,Datos_long!$A$2:$A$269,$A27,Datos_long!$B$2:$B$269,"energia")</f>
        <v>0</v>
      </c>
      <c r="C27" s="9">
        <f>SUMIFS(Datos_long!$E$2:$E$269,Datos_long!$A$2:$A$269,$A27,Datos_long!$B$2:$B$269,"petroleo")</f>
        <v>133</v>
      </c>
      <c r="D27" s="9">
        <f>SUMIFS(Datos_long!$E$2:$E$269,Datos_long!$A$2:$A$269,$A27,Datos_long!$B$2:$B$269,"mineria")</f>
        <v>44</v>
      </c>
      <c r="E27" s="9">
        <f>SUMIFS(Datos_long!$E$2:$E$269,Datos_long!$A$2:$A$269,$A27,Datos_long!$B$2:$B$269,"siderurgia")</f>
        <v>0</v>
      </c>
      <c r="F27" s="9">
        <f>SUMIFS(Datos_long!$E$2:$E$269,Datos_long!$A$2:$A$269,$A27,Datos_long!$B$2:$B$269,"infra")</f>
        <v>0</v>
      </c>
      <c r="G27" s="9">
        <f>IF(COUNTIFS(Datos_long!$A$2:$A$269,$A27,Datos_long!$B$2:$B$269,"petroleo",Datos_long!$D$2:$D$269,"Midstream")=0,"",SUMIFS(Datos_long!$E$2:$E$269,Datos_long!$A$2:$A$269,$A27,Datos_long!$B$2:$B$269,"petroleo",Datos_long!$D$2:$D$269,"Midstream"))</f>
        <v>0</v>
      </c>
      <c r="H27" s="9">
        <f>IF(COUNTIFS(Datos_long!$A$2:$A$269,$A27,Datos_long!$B$2:$B$269,"petroleo",Datos_long!$D$2:$D$269,"Upstream")=0,"",SUMIFS(Datos_long!$E$2:$E$269,Datos_long!$A$2:$A$269,$A27,Datos_long!$B$2:$B$269,"petroleo",Datos_long!$D$2:$D$269,"Upstream"))</f>
        <v>133</v>
      </c>
      <c r="I27" s="9" t="str">
        <f>IF(COUNTIFS(Datos_long!$A$2:$A$269,$A27,Datos_long!$B$2:$B$269,"petroleo",Datos_long!$D$2:$D$269,"Fertilizantes")=0,"",SUMIFS(Datos_long!$E$2:$E$269,Datos_long!$A$2:$A$269,$A27,Datos_long!$B$2:$B$269,"petroleo",Datos_long!$D$2:$D$269,"Fertilizantes"))</f>
        <v/>
      </c>
      <c r="J27" s="9">
        <f>IF(COUNTIFS(Datos_long!$A$2:$A$269,$A27,Datos_long!$B$2:$B$269,"mineria",Datos_long!$D$2:$D$269,"Cobre")=0,"",SUMIFS(Datos_long!$E$2:$E$269,Datos_long!$A$2:$A$269,$A27,Datos_long!$B$2:$B$269,"mineria",Datos_long!$D$2:$D$269,"Cobre"))</f>
        <v>37</v>
      </c>
      <c r="K27" s="9">
        <f>IF(COUNTIFS(Datos_long!$A$2:$A$269,$A27,Datos_long!$B$2:$B$269,"mineria",Datos_long!$D$2:$D$269,"Litio")=0,"",SUMIFS(Datos_long!$E$2:$E$269,Datos_long!$A$2:$A$269,$A27,Datos_long!$B$2:$B$269,"mineria",Datos_long!$D$2:$D$269,"Litio"))</f>
        <v>0</v>
      </c>
      <c r="L27" s="9">
        <f>IF(COUNTIFS(Datos_long!$A$2:$A$269,$A27,Datos_long!$B$2:$B$269,"mineria",Datos_long!$D$2:$D$269,"Oro y Plata")=0,"",SUMIFS(Datos_long!$E$2:$E$269,Datos_long!$A$2:$A$269,$A27,Datos_long!$B$2:$B$269,"mineria",Datos_long!$D$2:$D$269,"Oro y Plata"))</f>
        <v>7</v>
      </c>
      <c r="M27" s="9">
        <f>IF(COUNTIFS(Datos_long!$A$2:$A$269,$A27,Datos_long!$B$2:$B$269,"infra",Datos_long!$D$2:$D$269,"Puerto")=0,"",SUMIFS(Datos_long!$E$2:$E$269,Datos_long!$A$2:$A$269,$A27,Datos_long!$B$2:$B$269,"infra",Datos_long!$D$2:$D$269,"Puerto"))</f>
        <v>0</v>
      </c>
      <c r="N27" s="12">
        <f t="shared" si="0"/>
        <v>177</v>
      </c>
    </row>
    <row r="28" spans="1:14">
      <c r="A28">
        <v>2050</v>
      </c>
      <c r="B28" s="9">
        <f>SUMIFS(Datos_long!$E$2:$E$269,Datos_long!$A$2:$A$269,$A28,Datos_long!$B$2:$B$269,"energia")</f>
        <v>0</v>
      </c>
      <c r="C28" s="9">
        <f>SUMIFS(Datos_long!$E$2:$E$269,Datos_long!$A$2:$A$269,$A28,Datos_long!$B$2:$B$269,"petroleo")</f>
        <v>133</v>
      </c>
      <c r="D28" s="9">
        <f>SUMIFS(Datos_long!$E$2:$E$269,Datos_long!$A$2:$A$269,$A28,Datos_long!$B$2:$B$269,"mineria")</f>
        <v>17</v>
      </c>
      <c r="E28" s="9">
        <f>SUMIFS(Datos_long!$E$2:$E$269,Datos_long!$A$2:$A$269,$A28,Datos_long!$B$2:$B$269,"siderurgia")</f>
        <v>0</v>
      </c>
      <c r="F28" s="9">
        <f>SUMIFS(Datos_long!$E$2:$E$269,Datos_long!$A$2:$A$269,$A28,Datos_long!$B$2:$B$269,"infra")</f>
        <v>0</v>
      </c>
      <c r="G28" s="9">
        <f>IF(COUNTIFS(Datos_long!$A$2:$A$269,$A28,Datos_long!$B$2:$B$269,"petroleo",Datos_long!$D$2:$D$269,"Midstream")=0,"",SUMIFS(Datos_long!$E$2:$E$269,Datos_long!$A$2:$A$269,$A28,Datos_long!$B$2:$B$269,"petroleo",Datos_long!$D$2:$D$269,"Midstream"))</f>
        <v>0</v>
      </c>
      <c r="H28" s="9">
        <f>IF(COUNTIFS(Datos_long!$A$2:$A$269,$A28,Datos_long!$B$2:$B$269,"petroleo",Datos_long!$D$2:$D$269,"Upstream")=0,"",SUMIFS(Datos_long!$E$2:$E$269,Datos_long!$A$2:$A$269,$A28,Datos_long!$B$2:$B$269,"petroleo",Datos_long!$D$2:$D$269,"Upstream"))</f>
        <v>133</v>
      </c>
      <c r="I28" s="9" t="str">
        <f>IF(COUNTIFS(Datos_long!$A$2:$A$269,$A28,Datos_long!$B$2:$B$269,"petroleo",Datos_long!$D$2:$D$269,"Fertilizantes")=0,"",SUMIFS(Datos_long!$E$2:$E$269,Datos_long!$A$2:$A$269,$A28,Datos_long!$B$2:$B$269,"petroleo",Datos_long!$D$2:$D$269,"Fertilizantes"))</f>
        <v/>
      </c>
      <c r="J28" s="9">
        <f>IF(COUNTIFS(Datos_long!$A$2:$A$269,$A28,Datos_long!$B$2:$B$269,"mineria",Datos_long!$D$2:$D$269,"Cobre")=0,"",SUMIFS(Datos_long!$E$2:$E$269,Datos_long!$A$2:$A$269,$A28,Datos_long!$B$2:$B$269,"mineria",Datos_long!$D$2:$D$269,"Cobre"))</f>
        <v>10</v>
      </c>
      <c r="K28" s="9">
        <f>IF(COUNTIFS(Datos_long!$A$2:$A$269,$A28,Datos_long!$B$2:$B$269,"mineria",Datos_long!$D$2:$D$269,"Litio")=0,"",SUMIFS(Datos_long!$E$2:$E$269,Datos_long!$A$2:$A$269,$A28,Datos_long!$B$2:$B$269,"mineria",Datos_long!$D$2:$D$269,"Litio"))</f>
        <v>0</v>
      </c>
      <c r="L28" s="9">
        <f>IF(COUNTIFS(Datos_long!$A$2:$A$269,$A28,Datos_long!$B$2:$B$269,"mineria",Datos_long!$D$2:$D$269,"Oro y Plata")=0,"",SUMIFS(Datos_long!$E$2:$E$269,Datos_long!$A$2:$A$269,$A28,Datos_long!$B$2:$B$269,"mineria",Datos_long!$D$2:$D$269,"Oro y Plata"))</f>
        <v>7</v>
      </c>
      <c r="M28" s="9">
        <f>IF(COUNTIFS(Datos_long!$A$2:$A$269,$A28,Datos_long!$B$2:$B$269,"infra",Datos_long!$D$2:$D$269,"Puerto")=0,"",SUMIFS(Datos_long!$E$2:$E$269,Datos_long!$A$2:$A$269,$A28,Datos_long!$B$2:$B$269,"infra",Datos_long!$D$2:$D$269,"Puerto"))</f>
        <v>0</v>
      </c>
      <c r="N28" s="12">
        <f t="shared" si="0"/>
        <v>150</v>
      </c>
    </row>
    <row r="29" spans="1:14">
      <c r="A29">
        <v>2051</v>
      </c>
      <c r="B29" s="9">
        <f>SUMIFS(Datos_long!$E$2:$E$269,Datos_long!$A$2:$A$269,$A29,Datos_long!$B$2:$B$269,"energia")</f>
        <v>0</v>
      </c>
      <c r="C29" s="9">
        <f>SUMIFS(Datos_long!$E$2:$E$269,Datos_long!$A$2:$A$269,$A29,Datos_long!$B$2:$B$269,"petroleo")</f>
        <v>133</v>
      </c>
      <c r="D29" s="9">
        <f>SUMIFS(Datos_long!$E$2:$E$269,Datos_long!$A$2:$A$269,$A29,Datos_long!$B$2:$B$269,"mineria")</f>
        <v>8</v>
      </c>
      <c r="E29" s="9">
        <f>SUMIFS(Datos_long!$E$2:$E$269,Datos_long!$A$2:$A$269,$A29,Datos_long!$B$2:$B$269,"siderurgia")</f>
        <v>0</v>
      </c>
      <c r="F29" s="9">
        <f>SUMIFS(Datos_long!$E$2:$E$269,Datos_long!$A$2:$A$269,$A29,Datos_long!$B$2:$B$269,"infra")</f>
        <v>0</v>
      </c>
      <c r="G29" s="9">
        <f>IF(COUNTIFS(Datos_long!$A$2:$A$269,$A29,Datos_long!$B$2:$B$269,"petroleo",Datos_long!$D$2:$D$269,"Midstream")=0,"",SUMIFS(Datos_long!$E$2:$E$269,Datos_long!$A$2:$A$269,$A29,Datos_long!$B$2:$B$269,"petroleo",Datos_long!$D$2:$D$269,"Midstream"))</f>
        <v>0</v>
      </c>
      <c r="H29" s="9">
        <f>IF(COUNTIFS(Datos_long!$A$2:$A$269,$A29,Datos_long!$B$2:$B$269,"petroleo",Datos_long!$D$2:$D$269,"Upstream")=0,"",SUMIFS(Datos_long!$E$2:$E$269,Datos_long!$A$2:$A$269,$A29,Datos_long!$B$2:$B$269,"petroleo",Datos_long!$D$2:$D$269,"Upstream"))</f>
        <v>133</v>
      </c>
      <c r="I29" s="9" t="str">
        <f>IF(COUNTIFS(Datos_long!$A$2:$A$269,$A29,Datos_long!$B$2:$B$269,"petroleo",Datos_long!$D$2:$D$269,"Fertilizantes")=0,"",SUMIFS(Datos_long!$E$2:$E$269,Datos_long!$A$2:$A$269,$A29,Datos_long!$B$2:$B$269,"petroleo",Datos_long!$D$2:$D$269,"Fertilizantes"))</f>
        <v/>
      </c>
      <c r="J29" s="9">
        <f>IF(COUNTIFS(Datos_long!$A$2:$A$269,$A29,Datos_long!$B$2:$B$269,"mineria",Datos_long!$D$2:$D$269,"Cobre")=0,"",SUMIFS(Datos_long!$E$2:$E$269,Datos_long!$A$2:$A$269,$A29,Datos_long!$B$2:$B$269,"mineria",Datos_long!$D$2:$D$269,"Cobre"))</f>
        <v>1</v>
      </c>
      <c r="K29" s="9">
        <f>IF(COUNTIFS(Datos_long!$A$2:$A$269,$A29,Datos_long!$B$2:$B$269,"mineria",Datos_long!$D$2:$D$269,"Litio")=0,"",SUMIFS(Datos_long!$E$2:$E$269,Datos_long!$A$2:$A$269,$A29,Datos_long!$B$2:$B$269,"mineria",Datos_long!$D$2:$D$269,"Litio"))</f>
        <v>0</v>
      </c>
      <c r="L29" s="9">
        <f>IF(COUNTIFS(Datos_long!$A$2:$A$269,$A29,Datos_long!$B$2:$B$269,"mineria",Datos_long!$D$2:$D$269,"Oro y Plata")=0,"",SUMIFS(Datos_long!$E$2:$E$269,Datos_long!$A$2:$A$269,$A29,Datos_long!$B$2:$B$269,"mineria",Datos_long!$D$2:$D$269,"Oro y Plata"))</f>
        <v>7</v>
      </c>
      <c r="M29" s="9">
        <f>IF(COUNTIFS(Datos_long!$A$2:$A$269,$A29,Datos_long!$B$2:$B$269,"infra",Datos_long!$D$2:$D$269,"Puerto")=0,"",SUMIFS(Datos_long!$E$2:$E$269,Datos_long!$A$2:$A$269,$A29,Datos_long!$B$2:$B$269,"infra",Datos_long!$D$2:$D$269,"Puerto"))</f>
        <v>0</v>
      </c>
      <c r="N29" s="12">
        <f t="shared" si="0"/>
        <v>141</v>
      </c>
    </row>
    <row r="30" spans="1:14">
      <c r="A30">
        <v>2052</v>
      </c>
      <c r="B30" s="9">
        <f>SUMIFS(Datos_long!$E$2:$E$269,Datos_long!$A$2:$A$269,$A30,Datos_long!$B$2:$B$269,"energia")</f>
        <v>0</v>
      </c>
      <c r="C30" s="9">
        <f>SUMIFS(Datos_long!$E$2:$E$269,Datos_long!$A$2:$A$269,$A30,Datos_long!$B$2:$B$269,"petroleo")</f>
        <v>133</v>
      </c>
      <c r="D30" s="9">
        <f>SUMIFS(Datos_long!$E$2:$E$269,Datos_long!$A$2:$A$269,$A30,Datos_long!$B$2:$B$269,"mineria")</f>
        <v>8</v>
      </c>
      <c r="E30" s="9">
        <f>SUMIFS(Datos_long!$E$2:$E$269,Datos_long!$A$2:$A$269,$A30,Datos_long!$B$2:$B$269,"siderurgia")</f>
        <v>0</v>
      </c>
      <c r="F30" s="9">
        <f>SUMIFS(Datos_long!$E$2:$E$269,Datos_long!$A$2:$A$269,$A30,Datos_long!$B$2:$B$269,"infra")</f>
        <v>0</v>
      </c>
      <c r="G30" s="9">
        <f>IF(COUNTIFS(Datos_long!$A$2:$A$269,$A30,Datos_long!$B$2:$B$269,"petroleo",Datos_long!$D$2:$D$269,"Midstream")=0,"",SUMIFS(Datos_long!$E$2:$E$269,Datos_long!$A$2:$A$269,$A30,Datos_long!$B$2:$B$269,"petroleo",Datos_long!$D$2:$D$269,"Midstream"))</f>
        <v>0</v>
      </c>
      <c r="H30" s="9">
        <f>IF(COUNTIFS(Datos_long!$A$2:$A$269,$A30,Datos_long!$B$2:$B$269,"petroleo",Datos_long!$D$2:$D$269,"Upstream")=0,"",SUMIFS(Datos_long!$E$2:$E$269,Datos_long!$A$2:$A$269,$A30,Datos_long!$B$2:$B$269,"petroleo",Datos_long!$D$2:$D$269,"Upstream"))</f>
        <v>133</v>
      </c>
      <c r="I30" s="9" t="str">
        <f>IF(COUNTIFS(Datos_long!$A$2:$A$269,$A30,Datos_long!$B$2:$B$269,"petroleo",Datos_long!$D$2:$D$269,"Fertilizantes")=0,"",SUMIFS(Datos_long!$E$2:$E$269,Datos_long!$A$2:$A$269,$A30,Datos_long!$B$2:$B$269,"petroleo",Datos_long!$D$2:$D$269,"Fertilizantes"))</f>
        <v/>
      </c>
      <c r="J30" s="9">
        <f>IF(COUNTIFS(Datos_long!$A$2:$A$269,$A30,Datos_long!$B$2:$B$269,"mineria",Datos_long!$D$2:$D$269,"Cobre")=0,"",SUMIFS(Datos_long!$E$2:$E$269,Datos_long!$A$2:$A$269,$A30,Datos_long!$B$2:$B$269,"mineria",Datos_long!$D$2:$D$269,"Cobre"))</f>
        <v>1</v>
      </c>
      <c r="K30" s="9">
        <f>IF(COUNTIFS(Datos_long!$A$2:$A$269,$A30,Datos_long!$B$2:$B$269,"mineria",Datos_long!$D$2:$D$269,"Litio")=0,"",SUMIFS(Datos_long!$E$2:$E$269,Datos_long!$A$2:$A$269,$A30,Datos_long!$B$2:$B$269,"mineria",Datos_long!$D$2:$D$269,"Litio"))</f>
        <v>0</v>
      </c>
      <c r="L30" s="9">
        <f>IF(COUNTIFS(Datos_long!$A$2:$A$269,$A30,Datos_long!$B$2:$B$269,"mineria",Datos_long!$D$2:$D$269,"Oro y Plata")=0,"",SUMIFS(Datos_long!$E$2:$E$269,Datos_long!$A$2:$A$269,$A30,Datos_long!$B$2:$B$269,"mineria",Datos_long!$D$2:$D$269,"Oro y Plata"))</f>
        <v>7</v>
      </c>
      <c r="M30" s="9">
        <f>IF(COUNTIFS(Datos_long!$A$2:$A$269,$A30,Datos_long!$B$2:$B$269,"infra",Datos_long!$D$2:$D$269,"Puerto")=0,"",SUMIFS(Datos_long!$E$2:$E$269,Datos_long!$A$2:$A$269,$A30,Datos_long!$B$2:$B$269,"infra",Datos_long!$D$2:$D$269,"Puerto"))</f>
        <v>0</v>
      </c>
      <c r="N30" s="12">
        <f t="shared" si="0"/>
        <v>141</v>
      </c>
    </row>
    <row r="31" spans="1:14">
      <c r="A31">
        <v>2053</v>
      </c>
      <c r="B31" s="9">
        <f>SUMIFS(Datos_long!$E$2:$E$269,Datos_long!$A$2:$A$269,$A31,Datos_long!$B$2:$B$269,"energia")</f>
        <v>0</v>
      </c>
      <c r="C31" s="9">
        <f>SUMIFS(Datos_long!$E$2:$E$269,Datos_long!$A$2:$A$269,$A31,Datos_long!$B$2:$B$269,"petroleo")</f>
        <v>133</v>
      </c>
      <c r="D31" s="9">
        <f>SUMIFS(Datos_long!$E$2:$E$269,Datos_long!$A$2:$A$269,$A31,Datos_long!$B$2:$B$269,"mineria")</f>
        <v>59</v>
      </c>
      <c r="E31" s="9">
        <f>SUMIFS(Datos_long!$E$2:$E$269,Datos_long!$A$2:$A$269,$A31,Datos_long!$B$2:$B$269,"siderurgia")</f>
        <v>0</v>
      </c>
      <c r="F31" s="9">
        <f>SUMIFS(Datos_long!$E$2:$E$269,Datos_long!$A$2:$A$269,$A31,Datos_long!$B$2:$B$269,"infra")</f>
        <v>0</v>
      </c>
      <c r="G31" s="9">
        <f>IF(COUNTIFS(Datos_long!$A$2:$A$269,$A31,Datos_long!$B$2:$B$269,"petroleo",Datos_long!$D$2:$D$269,"Midstream")=0,"",SUMIFS(Datos_long!$E$2:$E$269,Datos_long!$A$2:$A$269,$A31,Datos_long!$B$2:$B$269,"petroleo",Datos_long!$D$2:$D$269,"Midstream"))</f>
        <v>0</v>
      </c>
      <c r="H31" s="9">
        <f>IF(COUNTIFS(Datos_long!$A$2:$A$269,$A31,Datos_long!$B$2:$B$269,"petroleo",Datos_long!$D$2:$D$269,"Upstream")=0,"",SUMIFS(Datos_long!$E$2:$E$269,Datos_long!$A$2:$A$269,$A31,Datos_long!$B$2:$B$269,"petroleo",Datos_long!$D$2:$D$269,"Upstream"))</f>
        <v>133</v>
      </c>
      <c r="I31" s="9" t="str">
        <f>IF(COUNTIFS(Datos_long!$A$2:$A$269,$A31,Datos_long!$B$2:$B$269,"petroleo",Datos_long!$D$2:$D$269,"Fertilizantes")=0,"",SUMIFS(Datos_long!$E$2:$E$269,Datos_long!$A$2:$A$269,$A31,Datos_long!$B$2:$B$269,"petroleo",Datos_long!$D$2:$D$269,"Fertilizantes"))</f>
        <v/>
      </c>
      <c r="J31" s="9">
        <f>IF(COUNTIFS(Datos_long!$A$2:$A$269,$A31,Datos_long!$B$2:$B$269,"mineria",Datos_long!$D$2:$D$269,"Cobre")=0,"",SUMIFS(Datos_long!$E$2:$E$269,Datos_long!$A$2:$A$269,$A31,Datos_long!$B$2:$B$269,"mineria",Datos_long!$D$2:$D$269,"Cobre"))</f>
        <v>52</v>
      </c>
      <c r="K31" s="9">
        <f>IF(COUNTIFS(Datos_long!$A$2:$A$269,$A31,Datos_long!$B$2:$B$269,"mineria",Datos_long!$D$2:$D$269,"Litio")=0,"",SUMIFS(Datos_long!$E$2:$E$269,Datos_long!$A$2:$A$269,$A31,Datos_long!$B$2:$B$269,"mineria",Datos_long!$D$2:$D$269,"Litio"))</f>
        <v>0</v>
      </c>
      <c r="L31" s="9">
        <f>IF(COUNTIFS(Datos_long!$A$2:$A$269,$A31,Datos_long!$B$2:$B$269,"mineria",Datos_long!$D$2:$D$269,"Oro y Plata")=0,"",SUMIFS(Datos_long!$E$2:$E$269,Datos_long!$A$2:$A$269,$A31,Datos_long!$B$2:$B$269,"mineria",Datos_long!$D$2:$D$269,"Oro y Plata"))</f>
        <v>7</v>
      </c>
      <c r="M31" s="9">
        <f>IF(COUNTIFS(Datos_long!$A$2:$A$269,$A31,Datos_long!$B$2:$B$269,"infra",Datos_long!$D$2:$D$269,"Puerto")=0,"",SUMIFS(Datos_long!$E$2:$E$269,Datos_long!$A$2:$A$269,$A31,Datos_long!$B$2:$B$269,"infra",Datos_long!$D$2:$D$269,"Puerto"))</f>
        <v>0</v>
      </c>
      <c r="N31" s="12">
        <f t="shared" si="0"/>
        <v>192</v>
      </c>
    </row>
    <row r="32" spans="1:14">
      <c r="A32">
        <v>2054</v>
      </c>
      <c r="B32" s="9">
        <f>SUMIFS(Datos_long!$E$2:$E$269,Datos_long!$A$2:$A$269,$A32,Datos_long!$B$2:$B$269,"energia")</f>
        <v>0</v>
      </c>
      <c r="C32" s="9">
        <f>SUMIFS(Datos_long!$E$2:$E$269,Datos_long!$A$2:$A$269,$A32,Datos_long!$B$2:$B$269,"petroleo")</f>
        <v>133</v>
      </c>
      <c r="D32" s="9">
        <f>SUMIFS(Datos_long!$E$2:$E$269,Datos_long!$A$2:$A$269,$A32,Datos_long!$B$2:$B$269,"mineria")</f>
        <v>59</v>
      </c>
      <c r="E32" s="9">
        <f>SUMIFS(Datos_long!$E$2:$E$269,Datos_long!$A$2:$A$269,$A32,Datos_long!$B$2:$B$269,"siderurgia")</f>
        <v>0</v>
      </c>
      <c r="F32" s="9">
        <f>SUMIFS(Datos_long!$E$2:$E$269,Datos_long!$A$2:$A$269,$A32,Datos_long!$B$2:$B$269,"infra")</f>
        <v>0</v>
      </c>
      <c r="G32" s="9">
        <f>IF(COUNTIFS(Datos_long!$A$2:$A$269,$A32,Datos_long!$B$2:$B$269,"petroleo",Datos_long!$D$2:$D$269,"Midstream")=0,"",SUMIFS(Datos_long!$E$2:$E$269,Datos_long!$A$2:$A$269,$A32,Datos_long!$B$2:$B$269,"petroleo",Datos_long!$D$2:$D$269,"Midstream"))</f>
        <v>0</v>
      </c>
      <c r="H32" s="9">
        <f>IF(COUNTIFS(Datos_long!$A$2:$A$269,$A32,Datos_long!$B$2:$B$269,"petroleo",Datos_long!$D$2:$D$269,"Upstream")=0,"",SUMIFS(Datos_long!$E$2:$E$269,Datos_long!$A$2:$A$269,$A32,Datos_long!$B$2:$B$269,"petroleo",Datos_long!$D$2:$D$269,"Upstream"))</f>
        <v>133</v>
      </c>
      <c r="I32" s="9" t="str">
        <f>IF(COUNTIFS(Datos_long!$A$2:$A$269,$A32,Datos_long!$B$2:$B$269,"petroleo",Datos_long!$D$2:$D$269,"Fertilizantes")=0,"",SUMIFS(Datos_long!$E$2:$E$269,Datos_long!$A$2:$A$269,$A32,Datos_long!$B$2:$B$269,"petroleo",Datos_long!$D$2:$D$269,"Fertilizantes"))</f>
        <v/>
      </c>
      <c r="J32" s="9">
        <f>IF(COUNTIFS(Datos_long!$A$2:$A$269,$A32,Datos_long!$B$2:$B$269,"mineria",Datos_long!$D$2:$D$269,"Cobre")=0,"",SUMIFS(Datos_long!$E$2:$E$269,Datos_long!$A$2:$A$269,$A32,Datos_long!$B$2:$B$269,"mineria",Datos_long!$D$2:$D$269,"Cobre"))</f>
        <v>52</v>
      </c>
      <c r="K32" s="9">
        <f>IF(COUNTIFS(Datos_long!$A$2:$A$269,$A32,Datos_long!$B$2:$B$269,"mineria",Datos_long!$D$2:$D$269,"Litio")=0,"",SUMIFS(Datos_long!$E$2:$E$269,Datos_long!$A$2:$A$269,$A32,Datos_long!$B$2:$B$269,"mineria",Datos_long!$D$2:$D$269,"Litio"))</f>
        <v>0</v>
      </c>
      <c r="L32" s="9">
        <f>IF(COUNTIFS(Datos_long!$A$2:$A$269,$A32,Datos_long!$B$2:$B$269,"mineria",Datos_long!$D$2:$D$269,"Oro y Plata")=0,"",SUMIFS(Datos_long!$E$2:$E$269,Datos_long!$A$2:$A$269,$A32,Datos_long!$B$2:$B$269,"mineria",Datos_long!$D$2:$D$269,"Oro y Plata"))</f>
        <v>7</v>
      </c>
      <c r="M32" s="9">
        <f>IF(COUNTIFS(Datos_long!$A$2:$A$269,$A32,Datos_long!$B$2:$B$269,"infra",Datos_long!$D$2:$D$269,"Puerto")=0,"",SUMIFS(Datos_long!$E$2:$E$269,Datos_long!$A$2:$A$269,$A32,Datos_long!$B$2:$B$269,"infra",Datos_long!$D$2:$D$269,"Puerto"))</f>
        <v>0</v>
      </c>
      <c r="N32" s="12">
        <f t="shared" si="0"/>
        <v>192</v>
      </c>
    </row>
    <row r="33" spans="1:14">
      <c r="A33">
        <v>2055</v>
      </c>
      <c r="B33" s="9">
        <f>SUMIFS(Datos_long!$E$2:$E$269,Datos_long!$A$2:$A$269,$A33,Datos_long!$B$2:$B$269,"energia")</f>
        <v>0</v>
      </c>
      <c r="C33" s="9">
        <f>SUMIFS(Datos_long!$E$2:$E$269,Datos_long!$A$2:$A$269,$A33,Datos_long!$B$2:$B$269,"petroleo")</f>
        <v>133</v>
      </c>
      <c r="D33" s="9">
        <f>SUMIFS(Datos_long!$E$2:$E$269,Datos_long!$A$2:$A$269,$A33,Datos_long!$B$2:$B$269,"mineria")</f>
        <v>58</v>
      </c>
      <c r="E33" s="9">
        <f>SUMIFS(Datos_long!$E$2:$E$269,Datos_long!$A$2:$A$269,$A33,Datos_long!$B$2:$B$269,"siderurgia")</f>
        <v>0</v>
      </c>
      <c r="F33" s="9">
        <f>SUMIFS(Datos_long!$E$2:$E$269,Datos_long!$A$2:$A$269,$A33,Datos_long!$B$2:$B$269,"infra")</f>
        <v>0</v>
      </c>
      <c r="G33" s="9">
        <f>IF(COUNTIFS(Datos_long!$A$2:$A$269,$A33,Datos_long!$B$2:$B$269,"petroleo",Datos_long!$D$2:$D$269,"Midstream")=0,"",SUMIFS(Datos_long!$E$2:$E$269,Datos_long!$A$2:$A$269,$A33,Datos_long!$B$2:$B$269,"petroleo",Datos_long!$D$2:$D$269,"Midstream"))</f>
        <v>0</v>
      </c>
      <c r="H33" s="9">
        <f>IF(COUNTIFS(Datos_long!$A$2:$A$269,$A33,Datos_long!$B$2:$B$269,"petroleo",Datos_long!$D$2:$D$269,"Upstream")=0,"",SUMIFS(Datos_long!$E$2:$E$269,Datos_long!$A$2:$A$269,$A33,Datos_long!$B$2:$B$269,"petroleo",Datos_long!$D$2:$D$269,"Upstream"))</f>
        <v>133</v>
      </c>
      <c r="I33" s="9" t="str">
        <f>IF(COUNTIFS(Datos_long!$A$2:$A$269,$A33,Datos_long!$B$2:$B$269,"petroleo",Datos_long!$D$2:$D$269,"Fertilizantes")=0,"",SUMIFS(Datos_long!$E$2:$E$269,Datos_long!$A$2:$A$269,$A33,Datos_long!$B$2:$B$269,"petroleo",Datos_long!$D$2:$D$269,"Fertilizantes"))</f>
        <v/>
      </c>
      <c r="J33" s="9">
        <f>IF(COUNTIFS(Datos_long!$A$2:$A$269,$A33,Datos_long!$B$2:$B$269,"mineria",Datos_long!$D$2:$D$269,"Cobre")=0,"",SUMIFS(Datos_long!$E$2:$E$269,Datos_long!$A$2:$A$269,$A33,Datos_long!$B$2:$B$269,"mineria",Datos_long!$D$2:$D$269,"Cobre"))</f>
        <v>51</v>
      </c>
      <c r="K33" s="9">
        <f>IF(COUNTIFS(Datos_long!$A$2:$A$269,$A33,Datos_long!$B$2:$B$269,"mineria",Datos_long!$D$2:$D$269,"Litio")=0,"",SUMIFS(Datos_long!$E$2:$E$269,Datos_long!$A$2:$A$269,$A33,Datos_long!$B$2:$B$269,"mineria",Datos_long!$D$2:$D$269,"Litio"))</f>
        <v>0</v>
      </c>
      <c r="L33" s="9">
        <f>IF(COUNTIFS(Datos_long!$A$2:$A$269,$A33,Datos_long!$B$2:$B$269,"mineria",Datos_long!$D$2:$D$269,"Oro y Plata")=0,"",SUMIFS(Datos_long!$E$2:$E$269,Datos_long!$A$2:$A$269,$A33,Datos_long!$B$2:$B$269,"mineria",Datos_long!$D$2:$D$269,"Oro y Plata"))</f>
        <v>7</v>
      </c>
      <c r="M33" s="9">
        <f>IF(COUNTIFS(Datos_long!$A$2:$A$269,$A33,Datos_long!$B$2:$B$269,"infra",Datos_long!$D$2:$D$269,"Puerto")=0,"",SUMIFS(Datos_long!$E$2:$E$269,Datos_long!$A$2:$A$269,$A33,Datos_long!$B$2:$B$269,"infra",Datos_long!$D$2:$D$269,"Puerto"))</f>
        <v>0</v>
      </c>
      <c r="N33" s="12">
        <f t="shared" si="0"/>
        <v>191</v>
      </c>
    </row>
    <row r="34" spans="1:14">
      <c r="A34">
        <v>2056</v>
      </c>
      <c r="B34" s="9">
        <f>SUMIFS(Datos_long!$E$2:$E$269,Datos_long!$A$2:$A$269,$A34,Datos_long!$B$2:$B$269,"energia")</f>
        <v>0</v>
      </c>
      <c r="C34" s="9">
        <f>SUMIFS(Datos_long!$E$2:$E$269,Datos_long!$A$2:$A$269,$A34,Datos_long!$B$2:$B$269,"petroleo")</f>
        <v>133</v>
      </c>
      <c r="D34" s="9">
        <f>SUMIFS(Datos_long!$E$2:$E$269,Datos_long!$A$2:$A$269,$A34,Datos_long!$B$2:$B$269,"mineria")</f>
        <v>95</v>
      </c>
      <c r="E34" s="9">
        <f>SUMIFS(Datos_long!$E$2:$E$269,Datos_long!$A$2:$A$269,$A34,Datos_long!$B$2:$B$269,"siderurgia")</f>
        <v>0</v>
      </c>
      <c r="F34" s="9">
        <f>SUMIFS(Datos_long!$E$2:$E$269,Datos_long!$A$2:$A$269,$A34,Datos_long!$B$2:$B$269,"infra")</f>
        <v>0</v>
      </c>
      <c r="G34" s="9">
        <f>IF(COUNTIFS(Datos_long!$A$2:$A$269,$A34,Datos_long!$B$2:$B$269,"petroleo",Datos_long!$D$2:$D$269,"Midstream")=0,"",SUMIFS(Datos_long!$E$2:$E$269,Datos_long!$A$2:$A$269,$A34,Datos_long!$B$2:$B$269,"petroleo",Datos_long!$D$2:$D$269,"Midstream"))</f>
        <v>0</v>
      </c>
      <c r="H34" s="9">
        <f>IF(COUNTIFS(Datos_long!$A$2:$A$269,$A34,Datos_long!$B$2:$B$269,"petroleo",Datos_long!$D$2:$D$269,"Upstream")=0,"",SUMIFS(Datos_long!$E$2:$E$269,Datos_long!$A$2:$A$269,$A34,Datos_long!$B$2:$B$269,"petroleo",Datos_long!$D$2:$D$269,"Upstream"))</f>
        <v>133</v>
      </c>
      <c r="I34" s="9" t="str">
        <f>IF(COUNTIFS(Datos_long!$A$2:$A$269,$A34,Datos_long!$B$2:$B$269,"petroleo",Datos_long!$D$2:$D$269,"Fertilizantes")=0,"",SUMIFS(Datos_long!$E$2:$E$269,Datos_long!$A$2:$A$269,$A34,Datos_long!$B$2:$B$269,"petroleo",Datos_long!$D$2:$D$269,"Fertilizantes"))</f>
        <v/>
      </c>
      <c r="J34" s="9">
        <f>IF(COUNTIFS(Datos_long!$A$2:$A$269,$A34,Datos_long!$B$2:$B$269,"mineria",Datos_long!$D$2:$D$269,"Cobre")=0,"",SUMIFS(Datos_long!$E$2:$E$269,Datos_long!$A$2:$A$269,$A34,Datos_long!$B$2:$B$269,"mineria",Datos_long!$D$2:$D$269,"Cobre"))</f>
        <v>51</v>
      </c>
      <c r="K34" s="9">
        <f>IF(COUNTIFS(Datos_long!$A$2:$A$269,$A34,Datos_long!$B$2:$B$269,"mineria",Datos_long!$D$2:$D$269,"Litio")=0,"",SUMIFS(Datos_long!$E$2:$E$269,Datos_long!$A$2:$A$269,$A34,Datos_long!$B$2:$B$269,"mineria",Datos_long!$D$2:$D$269,"Litio"))</f>
        <v>0</v>
      </c>
      <c r="L34" s="9">
        <f>IF(COUNTIFS(Datos_long!$A$2:$A$269,$A34,Datos_long!$B$2:$B$269,"mineria",Datos_long!$D$2:$D$269,"Oro y Plata")=0,"",SUMIFS(Datos_long!$E$2:$E$269,Datos_long!$A$2:$A$269,$A34,Datos_long!$B$2:$B$269,"mineria",Datos_long!$D$2:$D$269,"Oro y Plata"))</f>
        <v>44</v>
      </c>
      <c r="M34" s="9">
        <f>IF(COUNTIFS(Datos_long!$A$2:$A$269,$A34,Datos_long!$B$2:$B$269,"infra",Datos_long!$D$2:$D$269,"Puerto")=0,"",SUMIFS(Datos_long!$E$2:$E$269,Datos_long!$A$2:$A$269,$A34,Datos_long!$B$2:$B$269,"infra",Datos_long!$D$2:$D$269,"Puerto"))</f>
        <v>0</v>
      </c>
      <c r="N34" s="12">
        <f t="shared" si="0"/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4"/>
  <cols>
    <col min="1" max="1" width="12" customWidth="1"/>
    <col min="2" max="30" width="20" customWidth="1"/>
    <col min="31" max="31" width="43" customWidth="1"/>
  </cols>
  <sheetData>
    <row r="1" spans="1:31" ht="40" customHeight="1">
      <c r="A1" s="2" t="s">
        <v>0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11" t="s">
        <v>62</v>
      </c>
      <c r="W1" s="11" t="s">
        <v>63</v>
      </c>
      <c r="X1" s="11" t="s">
        <v>64</v>
      </c>
      <c r="Y1" s="11" t="s">
        <v>65</v>
      </c>
      <c r="Z1" s="11" t="s">
        <v>66</v>
      </c>
      <c r="AA1" s="11" t="s">
        <v>67</v>
      </c>
      <c r="AB1" s="11" t="s">
        <v>68</v>
      </c>
      <c r="AC1" s="11" t="s">
        <v>69</v>
      </c>
      <c r="AD1" s="11" t="s">
        <v>70</v>
      </c>
      <c r="AE1" s="11" t="s">
        <v>71</v>
      </c>
    </row>
    <row r="2" spans="1:31">
      <c r="A2">
        <v>2024</v>
      </c>
      <c r="B2" s="4">
        <v>37</v>
      </c>
      <c r="C2" s="9">
        <f>Datos_wide!B2</f>
        <v>37</v>
      </c>
      <c r="D2" s="3">
        <f t="shared" ref="D2:D34" si="0">C2-B2</f>
        <v>0</v>
      </c>
      <c r="E2" s="3" t="b">
        <f t="shared" ref="E2:E34" si="1">D2=0</f>
        <v>1</v>
      </c>
      <c r="F2" s="4">
        <v>49</v>
      </c>
      <c r="G2" s="9">
        <f>Datos_wide!C2</f>
        <v>49</v>
      </c>
      <c r="H2" s="3">
        <f t="shared" ref="H2:H34" si="2">G2-F2</f>
        <v>0</v>
      </c>
      <c r="I2" s="3" t="b">
        <f t="shared" ref="I2:I34" si="3">H2=0</f>
        <v>1</v>
      </c>
      <c r="J2" s="4">
        <v>527</v>
      </c>
      <c r="K2" s="9">
        <f>Datos_wide!D2</f>
        <v>542</v>
      </c>
      <c r="L2" s="3">
        <f t="shared" ref="L2:L34" si="4">K2-J2</f>
        <v>15</v>
      </c>
      <c r="M2" s="3" t="b">
        <f t="shared" ref="M2:M34" si="5">L2=0</f>
        <v>0</v>
      </c>
      <c r="N2" s="4">
        <v>0</v>
      </c>
      <c r="O2" s="9">
        <f>Datos_wide!E2</f>
        <v>0</v>
      </c>
      <c r="P2" s="3">
        <f t="shared" ref="P2:P34" si="6">O2-N2</f>
        <v>0</v>
      </c>
      <c r="Q2" s="3" t="b">
        <f t="shared" ref="Q2:Q34" si="7">P2=0</f>
        <v>1</v>
      </c>
      <c r="R2" s="4">
        <v>0</v>
      </c>
      <c r="S2" s="9">
        <f>Datos_wide!F2</f>
        <v>0</v>
      </c>
      <c r="T2" s="3">
        <f t="shared" ref="T2:T34" si="8">S2-R2</f>
        <v>0</v>
      </c>
      <c r="U2" s="3" t="b">
        <f t="shared" ref="U2:U34" si="9">T2=0</f>
        <v>1</v>
      </c>
      <c r="V2" s="4">
        <v>613</v>
      </c>
      <c r="W2" s="9">
        <f>Datos_wide!N2</f>
        <v>628</v>
      </c>
      <c r="X2" s="3">
        <f t="shared" ref="X2:X34" si="10">W2-V2</f>
        <v>15</v>
      </c>
      <c r="Y2" s="3" t="b">
        <f t="shared" ref="Y2:Y34" si="11">X2=0</f>
        <v>0</v>
      </c>
      <c r="Z2" s="3">
        <f>SUM(Datos_wide!B2:F2)</f>
        <v>628</v>
      </c>
      <c r="AA2" s="3">
        <f>SUMIF(Datos_long!$A$2:$A$269,$A2,Datos_long!$E$2:$E$269)</f>
        <v>628</v>
      </c>
      <c r="AB2" s="3">
        <f t="shared" ref="AB2:AB34" si="12">Z2-AA2</f>
        <v>0</v>
      </c>
      <c r="AC2" s="13" t="b">
        <f t="shared" ref="AC2:AC34" si="13">AB2=0</f>
        <v>1</v>
      </c>
      <c r="AD2" s="3">
        <f t="shared" ref="AD2:AD34" si="14">IF(D2&lt;&gt;0,1,0)+IF(H2&lt;&gt;0,1,0)+IF(L2&lt;&gt;0,1,0)+IF(P2&lt;&gt;0,1,0)+IF(T2&lt;&gt;0,1,0)</f>
        <v>1</v>
      </c>
      <c r="AE2" t="str">
        <f t="shared" ref="AE2:AE34" si="15">IF(NOT(AC2),"REVISAR SUMAS",IF(AND(Y2,AD2=0),"Sin diferencias","Difiere del dato publicado"))</f>
        <v>Difiere del dato publicado</v>
      </c>
    </row>
    <row r="3" spans="1:31">
      <c r="A3">
        <v>2025</v>
      </c>
      <c r="B3" s="4">
        <v>252</v>
      </c>
      <c r="C3" s="9">
        <f>Datos_wide!B3</f>
        <v>252</v>
      </c>
      <c r="D3" s="3">
        <f t="shared" si="0"/>
        <v>0</v>
      </c>
      <c r="E3" s="3" t="b">
        <f t="shared" si="1"/>
        <v>1</v>
      </c>
      <c r="F3" s="4">
        <v>2253</v>
      </c>
      <c r="G3" s="9">
        <f>Datos_wide!C3</f>
        <v>2253</v>
      </c>
      <c r="H3" s="3">
        <f t="shared" si="2"/>
        <v>0</v>
      </c>
      <c r="I3" s="3" t="b">
        <f t="shared" si="3"/>
        <v>1</v>
      </c>
      <c r="J3" s="4">
        <v>1473</v>
      </c>
      <c r="K3" s="9">
        <f>Datos_wide!D3</f>
        <v>1493</v>
      </c>
      <c r="L3" s="3">
        <f t="shared" si="4"/>
        <v>20</v>
      </c>
      <c r="M3" s="3" t="b">
        <f t="shared" si="5"/>
        <v>0</v>
      </c>
      <c r="N3" s="4">
        <v>82</v>
      </c>
      <c r="O3" s="9">
        <f>Datos_wide!E3</f>
        <v>82</v>
      </c>
      <c r="P3" s="3">
        <f t="shared" si="6"/>
        <v>0</v>
      </c>
      <c r="Q3" s="3" t="b">
        <f t="shared" si="7"/>
        <v>1</v>
      </c>
      <c r="R3" s="4">
        <v>92</v>
      </c>
      <c r="S3" s="9">
        <f>Datos_wide!F3</f>
        <v>92</v>
      </c>
      <c r="T3" s="3">
        <f t="shared" si="8"/>
        <v>0</v>
      </c>
      <c r="U3" s="3" t="b">
        <f t="shared" si="9"/>
        <v>1</v>
      </c>
      <c r="V3" s="4">
        <v>4152</v>
      </c>
      <c r="W3" s="9">
        <f>Datos_wide!N3</f>
        <v>4172</v>
      </c>
      <c r="X3" s="3">
        <f t="shared" si="10"/>
        <v>20</v>
      </c>
      <c r="Y3" s="3" t="b">
        <f t="shared" si="11"/>
        <v>0</v>
      </c>
      <c r="Z3" s="3">
        <f>SUM(Datos_wide!B3:F3)</f>
        <v>4172</v>
      </c>
      <c r="AA3" s="3">
        <f>SUMIF(Datos_long!$A$2:$A$269,$A3,Datos_long!$E$2:$E$269)</f>
        <v>4172</v>
      </c>
      <c r="AB3" s="3">
        <f t="shared" si="12"/>
        <v>0</v>
      </c>
      <c r="AC3" s="13" t="b">
        <f t="shared" si="13"/>
        <v>1</v>
      </c>
      <c r="AD3" s="3">
        <f t="shared" si="14"/>
        <v>1</v>
      </c>
      <c r="AE3" t="str">
        <f t="shared" si="15"/>
        <v>Difiere del dato publicado</v>
      </c>
    </row>
    <row r="4" spans="1:31">
      <c r="A4">
        <v>2026</v>
      </c>
      <c r="B4" s="4">
        <v>162</v>
      </c>
      <c r="C4" s="9">
        <f>Datos_wide!B4</f>
        <v>162</v>
      </c>
      <c r="D4" s="3">
        <f t="shared" si="0"/>
        <v>0</v>
      </c>
      <c r="E4" s="3" t="b">
        <f t="shared" si="1"/>
        <v>1</v>
      </c>
      <c r="F4" s="4">
        <v>4657</v>
      </c>
      <c r="G4" s="9">
        <f>Datos_wide!C4</f>
        <v>4658</v>
      </c>
      <c r="H4" s="3">
        <f t="shared" si="2"/>
        <v>1</v>
      </c>
      <c r="I4" s="3" t="b">
        <f t="shared" si="3"/>
        <v>0</v>
      </c>
      <c r="J4" s="4">
        <v>2579</v>
      </c>
      <c r="K4" s="9">
        <f>Datos_wide!D4</f>
        <v>2630</v>
      </c>
      <c r="L4" s="3">
        <f t="shared" si="4"/>
        <v>51</v>
      </c>
      <c r="M4" s="3" t="b">
        <f t="shared" si="5"/>
        <v>0</v>
      </c>
      <c r="N4" s="4">
        <v>130</v>
      </c>
      <c r="O4" s="9">
        <f>Datos_wide!E4</f>
        <v>130</v>
      </c>
      <c r="P4" s="3">
        <f t="shared" si="6"/>
        <v>0</v>
      </c>
      <c r="Q4" s="3" t="b">
        <f t="shared" si="7"/>
        <v>1</v>
      </c>
      <c r="R4" s="4">
        <v>74</v>
      </c>
      <c r="S4" s="9">
        <f>Datos_wide!F4</f>
        <v>74</v>
      </c>
      <c r="T4" s="3">
        <f t="shared" si="8"/>
        <v>0</v>
      </c>
      <c r="U4" s="3" t="b">
        <f t="shared" si="9"/>
        <v>1</v>
      </c>
      <c r="V4" s="4">
        <v>7602</v>
      </c>
      <c r="W4" s="9">
        <f>Datos_wide!N4</f>
        <v>7654</v>
      </c>
      <c r="X4" s="3">
        <f t="shared" si="10"/>
        <v>52</v>
      </c>
      <c r="Y4" s="3" t="b">
        <f t="shared" si="11"/>
        <v>0</v>
      </c>
      <c r="Z4" s="3">
        <f>SUM(Datos_wide!B4:F4)</f>
        <v>7654</v>
      </c>
      <c r="AA4" s="3">
        <f>SUMIF(Datos_long!$A$2:$A$269,$A4,Datos_long!$E$2:$E$269)</f>
        <v>7654</v>
      </c>
      <c r="AB4" s="3">
        <f t="shared" si="12"/>
        <v>0</v>
      </c>
      <c r="AC4" s="13" t="b">
        <f t="shared" si="13"/>
        <v>1</v>
      </c>
      <c r="AD4" s="3">
        <f t="shared" si="14"/>
        <v>2</v>
      </c>
      <c r="AE4" t="str">
        <f t="shared" si="15"/>
        <v>Difiere del dato publicado</v>
      </c>
    </row>
    <row r="5" spans="1:31">
      <c r="A5">
        <v>2027</v>
      </c>
      <c r="B5" s="4">
        <v>36</v>
      </c>
      <c r="C5" s="9">
        <f>Datos_wide!B5</f>
        <v>36</v>
      </c>
      <c r="D5" s="3">
        <f t="shared" si="0"/>
        <v>0</v>
      </c>
      <c r="E5" s="3" t="b">
        <f t="shared" si="1"/>
        <v>1</v>
      </c>
      <c r="F5" s="4">
        <v>3657</v>
      </c>
      <c r="G5" s="9">
        <f>Datos_wide!C5</f>
        <v>3657</v>
      </c>
      <c r="H5" s="3">
        <f t="shared" si="2"/>
        <v>0</v>
      </c>
      <c r="I5" s="3" t="b">
        <f t="shared" si="3"/>
        <v>1</v>
      </c>
      <c r="J5" s="4">
        <v>3875</v>
      </c>
      <c r="K5" s="9">
        <f>Datos_wide!D5</f>
        <v>3987</v>
      </c>
      <c r="L5" s="3">
        <f t="shared" si="4"/>
        <v>112</v>
      </c>
      <c r="M5" s="3" t="b">
        <f t="shared" si="5"/>
        <v>0</v>
      </c>
      <c r="N5" s="4">
        <v>66</v>
      </c>
      <c r="O5" s="9">
        <f>Datos_wide!E5</f>
        <v>66</v>
      </c>
      <c r="P5" s="3">
        <f t="shared" si="6"/>
        <v>0</v>
      </c>
      <c r="Q5" s="3" t="b">
        <f t="shared" si="7"/>
        <v>1</v>
      </c>
      <c r="R5" s="4">
        <v>64</v>
      </c>
      <c r="S5" s="9">
        <f>Datos_wide!F5</f>
        <v>64</v>
      </c>
      <c r="T5" s="3">
        <f t="shared" si="8"/>
        <v>0</v>
      </c>
      <c r="U5" s="3" t="b">
        <f t="shared" si="9"/>
        <v>1</v>
      </c>
      <c r="V5" s="4">
        <v>7698</v>
      </c>
      <c r="W5" s="9">
        <f>Datos_wide!N5</f>
        <v>7810</v>
      </c>
      <c r="X5" s="3">
        <f t="shared" si="10"/>
        <v>112</v>
      </c>
      <c r="Y5" s="3" t="b">
        <f t="shared" si="11"/>
        <v>0</v>
      </c>
      <c r="Z5" s="3">
        <f>SUM(Datos_wide!B5:F5)</f>
        <v>7810</v>
      </c>
      <c r="AA5" s="3">
        <f>SUMIF(Datos_long!$A$2:$A$269,$A5,Datos_long!$E$2:$E$269)</f>
        <v>7810</v>
      </c>
      <c r="AB5" s="3">
        <f t="shared" si="12"/>
        <v>0</v>
      </c>
      <c r="AC5" s="13" t="b">
        <f t="shared" si="13"/>
        <v>1</v>
      </c>
      <c r="AD5" s="3">
        <f t="shared" si="14"/>
        <v>1</v>
      </c>
      <c r="AE5" t="str">
        <f t="shared" si="15"/>
        <v>Difiere del dato publicado</v>
      </c>
    </row>
    <row r="6" spans="1:31">
      <c r="A6">
        <v>2028</v>
      </c>
      <c r="B6" s="4">
        <v>0</v>
      </c>
      <c r="C6" s="9">
        <f>Datos_wide!B6</f>
        <v>0</v>
      </c>
      <c r="D6" s="3">
        <f t="shared" si="0"/>
        <v>0</v>
      </c>
      <c r="E6" s="3" t="b">
        <f t="shared" si="1"/>
        <v>1</v>
      </c>
      <c r="F6" s="4">
        <v>3836</v>
      </c>
      <c r="G6" s="9">
        <f>Datos_wide!C6</f>
        <v>3836</v>
      </c>
      <c r="H6" s="3">
        <f t="shared" si="2"/>
        <v>0</v>
      </c>
      <c r="I6" s="3" t="b">
        <f t="shared" si="3"/>
        <v>1</v>
      </c>
      <c r="J6" s="4">
        <v>4128</v>
      </c>
      <c r="K6" s="9">
        <f>Datos_wide!D6</f>
        <v>4859</v>
      </c>
      <c r="L6" s="3">
        <f t="shared" si="4"/>
        <v>731</v>
      </c>
      <c r="M6" s="3" t="b">
        <f t="shared" si="5"/>
        <v>0</v>
      </c>
      <c r="N6" s="4">
        <v>8</v>
      </c>
      <c r="O6" s="9">
        <f>Datos_wide!E6</f>
        <v>8</v>
      </c>
      <c r="P6" s="3">
        <f t="shared" si="6"/>
        <v>0</v>
      </c>
      <c r="Q6" s="3" t="b">
        <f t="shared" si="7"/>
        <v>1</v>
      </c>
      <c r="R6" s="4">
        <v>24</v>
      </c>
      <c r="S6" s="9">
        <f>Datos_wide!F6</f>
        <v>24</v>
      </c>
      <c r="T6" s="3">
        <f t="shared" si="8"/>
        <v>0</v>
      </c>
      <c r="U6" s="3" t="b">
        <f t="shared" si="9"/>
        <v>1</v>
      </c>
      <c r="V6" s="4">
        <v>7996</v>
      </c>
      <c r="W6" s="9">
        <f>Datos_wide!N6</f>
        <v>8727</v>
      </c>
      <c r="X6" s="3">
        <f t="shared" si="10"/>
        <v>731</v>
      </c>
      <c r="Y6" s="3" t="b">
        <f t="shared" si="11"/>
        <v>0</v>
      </c>
      <c r="Z6" s="3">
        <f>SUM(Datos_wide!B6:F6)</f>
        <v>8727</v>
      </c>
      <c r="AA6" s="3">
        <f>SUMIF(Datos_long!$A$2:$A$269,$A6,Datos_long!$E$2:$E$269)</f>
        <v>8727</v>
      </c>
      <c r="AB6" s="3">
        <f t="shared" si="12"/>
        <v>0</v>
      </c>
      <c r="AC6" s="13" t="b">
        <f t="shared" si="13"/>
        <v>1</v>
      </c>
      <c r="AD6" s="3">
        <f t="shared" si="14"/>
        <v>1</v>
      </c>
      <c r="AE6" t="str">
        <f t="shared" si="15"/>
        <v>Difiere del dato publicado</v>
      </c>
    </row>
    <row r="7" spans="1:31">
      <c r="A7">
        <v>2029</v>
      </c>
      <c r="B7" s="4">
        <v>0</v>
      </c>
      <c r="C7" s="9">
        <f>Datos_wide!B7</f>
        <v>0</v>
      </c>
      <c r="D7" s="3">
        <f t="shared" si="0"/>
        <v>0</v>
      </c>
      <c r="E7" s="3" t="b">
        <f t="shared" si="1"/>
        <v>1</v>
      </c>
      <c r="F7" s="4">
        <v>2501</v>
      </c>
      <c r="G7" s="9">
        <f>Datos_wide!C7</f>
        <v>2501</v>
      </c>
      <c r="H7" s="3">
        <f t="shared" si="2"/>
        <v>0</v>
      </c>
      <c r="I7" s="3" t="b">
        <f t="shared" si="3"/>
        <v>1</v>
      </c>
      <c r="J7" s="4">
        <v>3278</v>
      </c>
      <c r="K7" s="9">
        <f>Datos_wide!D7</f>
        <v>3966</v>
      </c>
      <c r="L7" s="3">
        <f t="shared" si="4"/>
        <v>688</v>
      </c>
      <c r="M7" s="3" t="b">
        <f t="shared" si="5"/>
        <v>0</v>
      </c>
      <c r="N7" s="4">
        <v>0</v>
      </c>
      <c r="O7" s="9">
        <f>Datos_wide!E7</f>
        <v>0</v>
      </c>
      <c r="P7" s="3">
        <f t="shared" si="6"/>
        <v>0</v>
      </c>
      <c r="Q7" s="3" t="b">
        <f t="shared" si="7"/>
        <v>1</v>
      </c>
      <c r="R7" s="4">
        <v>21</v>
      </c>
      <c r="S7" s="9">
        <f>Datos_wide!F7</f>
        <v>21</v>
      </c>
      <c r="T7" s="3">
        <f t="shared" si="8"/>
        <v>0</v>
      </c>
      <c r="U7" s="3" t="b">
        <f t="shared" si="9"/>
        <v>1</v>
      </c>
      <c r="V7" s="4">
        <v>5800</v>
      </c>
      <c r="W7" s="9">
        <f>Datos_wide!N7</f>
        <v>6488</v>
      </c>
      <c r="X7" s="3">
        <f t="shared" si="10"/>
        <v>688</v>
      </c>
      <c r="Y7" s="3" t="b">
        <f t="shared" si="11"/>
        <v>0</v>
      </c>
      <c r="Z7" s="3">
        <f>SUM(Datos_wide!B7:F7)</f>
        <v>6488</v>
      </c>
      <c r="AA7" s="3">
        <f>SUMIF(Datos_long!$A$2:$A$269,$A7,Datos_long!$E$2:$E$269)</f>
        <v>6488</v>
      </c>
      <c r="AB7" s="3">
        <f t="shared" si="12"/>
        <v>0</v>
      </c>
      <c r="AC7" s="13" t="b">
        <f t="shared" si="13"/>
        <v>1</v>
      </c>
      <c r="AD7" s="3">
        <f t="shared" si="14"/>
        <v>1</v>
      </c>
      <c r="AE7" t="str">
        <f t="shared" si="15"/>
        <v>Difiere del dato publicado</v>
      </c>
    </row>
    <row r="8" spans="1:31">
      <c r="A8">
        <v>2030</v>
      </c>
      <c r="B8" s="4">
        <v>0</v>
      </c>
      <c r="C8" s="9">
        <f>Datos_wide!B8</f>
        <v>0</v>
      </c>
      <c r="D8" s="3">
        <f t="shared" si="0"/>
        <v>0</v>
      </c>
      <c r="E8" s="3" t="b">
        <f t="shared" si="1"/>
        <v>1</v>
      </c>
      <c r="F8" s="4">
        <v>2249</v>
      </c>
      <c r="G8" s="9">
        <f>Datos_wide!C8</f>
        <v>2249</v>
      </c>
      <c r="H8" s="3">
        <f t="shared" si="2"/>
        <v>0</v>
      </c>
      <c r="I8" s="3" t="b">
        <f t="shared" si="3"/>
        <v>1</v>
      </c>
      <c r="J8" s="4">
        <v>2450</v>
      </c>
      <c r="K8" s="9">
        <f>Datos_wide!D8</f>
        <v>3724</v>
      </c>
      <c r="L8" s="3">
        <f t="shared" si="4"/>
        <v>1274</v>
      </c>
      <c r="M8" s="3" t="b">
        <f t="shared" si="5"/>
        <v>0</v>
      </c>
      <c r="N8" s="4">
        <v>0</v>
      </c>
      <c r="O8" s="9">
        <f>Datos_wide!E8</f>
        <v>0</v>
      </c>
      <c r="P8" s="3">
        <f t="shared" si="6"/>
        <v>0</v>
      </c>
      <c r="Q8" s="3" t="b">
        <f t="shared" si="7"/>
        <v>1</v>
      </c>
      <c r="R8" s="4">
        <v>2</v>
      </c>
      <c r="S8" s="9">
        <f>Datos_wide!F8</f>
        <v>2</v>
      </c>
      <c r="T8" s="3">
        <f t="shared" si="8"/>
        <v>0</v>
      </c>
      <c r="U8" s="3" t="b">
        <f t="shared" si="9"/>
        <v>1</v>
      </c>
      <c r="V8" s="4">
        <v>4701</v>
      </c>
      <c r="W8" s="9">
        <f>Datos_wide!N8</f>
        <v>5975</v>
      </c>
      <c r="X8" s="3">
        <f t="shared" si="10"/>
        <v>1274</v>
      </c>
      <c r="Y8" s="3" t="b">
        <f t="shared" si="11"/>
        <v>0</v>
      </c>
      <c r="Z8" s="3">
        <f>SUM(Datos_wide!B8:F8)</f>
        <v>5975</v>
      </c>
      <c r="AA8" s="3">
        <f>SUMIF(Datos_long!$A$2:$A$269,$A8,Datos_long!$E$2:$E$269)</f>
        <v>5975</v>
      </c>
      <c r="AB8" s="3">
        <f t="shared" si="12"/>
        <v>0</v>
      </c>
      <c r="AC8" s="13" t="b">
        <f t="shared" si="13"/>
        <v>1</v>
      </c>
      <c r="AD8" s="3">
        <f t="shared" si="14"/>
        <v>1</v>
      </c>
      <c r="AE8" t="str">
        <f t="shared" si="15"/>
        <v>Difiere del dato publicado</v>
      </c>
    </row>
    <row r="9" spans="1:31">
      <c r="A9">
        <v>2031</v>
      </c>
      <c r="B9" s="4">
        <v>0</v>
      </c>
      <c r="C9" s="9">
        <f>Datos_wide!B9</f>
        <v>0</v>
      </c>
      <c r="D9" s="3">
        <f t="shared" si="0"/>
        <v>0</v>
      </c>
      <c r="E9" s="3" t="b">
        <f t="shared" si="1"/>
        <v>1</v>
      </c>
      <c r="F9" s="4">
        <v>2072</v>
      </c>
      <c r="G9" s="9">
        <f>Datos_wide!C9</f>
        <v>2072</v>
      </c>
      <c r="H9" s="3">
        <f t="shared" si="2"/>
        <v>0</v>
      </c>
      <c r="I9" s="3" t="b">
        <f t="shared" si="3"/>
        <v>1</v>
      </c>
      <c r="J9" s="4">
        <v>1503</v>
      </c>
      <c r="K9" s="9">
        <f>Datos_wide!D9</f>
        <v>2282</v>
      </c>
      <c r="L9" s="3">
        <f t="shared" si="4"/>
        <v>779</v>
      </c>
      <c r="M9" s="3" t="b">
        <f t="shared" si="5"/>
        <v>0</v>
      </c>
      <c r="N9" s="4">
        <v>0</v>
      </c>
      <c r="O9" s="9">
        <f>Datos_wide!E9</f>
        <v>0</v>
      </c>
      <c r="P9" s="3">
        <f t="shared" si="6"/>
        <v>0</v>
      </c>
      <c r="Q9" s="3" t="b">
        <f t="shared" si="7"/>
        <v>1</v>
      </c>
      <c r="R9" s="4">
        <v>0</v>
      </c>
      <c r="S9" s="9">
        <f>Datos_wide!F9</f>
        <v>0</v>
      </c>
      <c r="T9" s="3">
        <f t="shared" si="8"/>
        <v>0</v>
      </c>
      <c r="U9" s="3" t="b">
        <f t="shared" si="9"/>
        <v>1</v>
      </c>
      <c r="V9" s="4">
        <v>3575</v>
      </c>
      <c r="W9" s="9">
        <f>Datos_wide!N9</f>
        <v>4354</v>
      </c>
      <c r="X9" s="3">
        <f t="shared" si="10"/>
        <v>779</v>
      </c>
      <c r="Y9" s="3" t="b">
        <f t="shared" si="11"/>
        <v>0</v>
      </c>
      <c r="Z9" s="3">
        <f>SUM(Datos_wide!B9:F9)</f>
        <v>4354</v>
      </c>
      <c r="AA9" s="3">
        <f>SUMIF(Datos_long!$A$2:$A$269,$A9,Datos_long!$E$2:$E$269)</f>
        <v>4354</v>
      </c>
      <c r="AB9" s="3">
        <f t="shared" si="12"/>
        <v>0</v>
      </c>
      <c r="AC9" s="13" t="b">
        <f t="shared" si="13"/>
        <v>1</v>
      </c>
      <c r="AD9" s="3">
        <f t="shared" si="14"/>
        <v>1</v>
      </c>
      <c r="AE9" t="str">
        <f t="shared" si="15"/>
        <v>Difiere del dato publicado</v>
      </c>
    </row>
    <row r="10" spans="1:31">
      <c r="A10">
        <v>2032</v>
      </c>
      <c r="B10" s="4">
        <v>0</v>
      </c>
      <c r="C10" s="9">
        <f>Datos_wide!B10</f>
        <v>0</v>
      </c>
      <c r="D10" s="3">
        <f t="shared" si="0"/>
        <v>0</v>
      </c>
      <c r="E10" s="3" t="b">
        <f t="shared" si="1"/>
        <v>1</v>
      </c>
      <c r="F10" s="4">
        <v>2094</v>
      </c>
      <c r="G10" s="9">
        <f>Datos_wide!C10</f>
        <v>2094</v>
      </c>
      <c r="H10" s="3">
        <f t="shared" si="2"/>
        <v>0</v>
      </c>
      <c r="I10" s="3" t="b">
        <f t="shared" si="3"/>
        <v>1</v>
      </c>
      <c r="J10" s="4">
        <v>416</v>
      </c>
      <c r="K10" s="9">
        <f>Datos_wide!D10</f>
        <v>606</v>
      </c>
      <c r="L10" s="3">
        <f t="shared" si="4"/>
        <v>190</v>
      </c>
      <c r="M10" s="3" t="b">
        <f t="shared" si="5"/>
        <v>0</v>
      </c>
      <c r="N10" s="4">
        <v>0</v>
      </c>
      <c r="O10" s="9">
        <f>Datos_wide!E10</f>
        <v>0</v>
      </c>
      <c r="P10" s="3">
        <f t="shared" si="6"/>
        <v>0</v>
      </c>
      <c r="Q10" s="3" t="b">
        <f t="shared" si="7"/>
        <v>1</v>
      </c>
      <c r="R10" s="4">
        <v>0</v>
      </c>
      <c r="S10" s="9">
        <f>Datos_wide!F10</f>
        <v>0</v>
      </c>
      <c r="T10" s="3">
        <f t="shared" si="8"/>
        <v>0</v>
      </c>
      <c r="U10" s="3" t="b">
        <f t="shared" si="9"/>
        <v>1</v>
      </c>
      <c r="V10" s="4">
        <v>2510</v>
      </c>
      <c r="W10" s="9">
        <f>Datos_wide!N10</f>
        <v>2700</v>
      </c>
      <c r="X10" s="3">
        <f t="shared" si="10"/>
        <v>190</v>
      </c>
      <c r="Y10" s="3" t="b">
        <f t="shared" si="11"/>
        <v>0</v>
      </c>
      <c r="Z10" s="3">
        <f>SUM(Datos_wide!B10:F10)</f>
        <v>2700</v>
      </c>
      <c r="AA10" s="3">
        <f>SUMIF(Datos_long!$A$2:$A$269,$A10,Datos_long!$E$2:$E$269)</f>
        <v>2700</v>
      </c>
      <c r="AB10" s="3">
        <f t="shared" si="12"/>
        <v>0</v>
      </c>
      <c r="AC10" s="13" t="b">
        <f t="shared" si="13"/>
        <v>1</v>
      </c>
      <c r="AD10" s="3">
        <f t="shared" si="14"/>
        <v>1</v>
      </c>
      <c r="AE10" t="str">
        <f t="shared" si="15"/>
        <v>Difiere del dato publicado</v>
      </c>
    </row>
    <row r="11" spans="1:31">
      <c r="A11">
        <v>2033</v>
      </c>
      <c r="B11" s="4">
        <v>0</v>
      </c>
      <c r="C11" s="9">
        <f>Datos_wide!B11</f>
        <v>0</v>
      </c>
      <c r="D11" s="3">
        <f t="shared" si="0"/>
        <v>0</v>
      </c>
      <c r="E11" s="3" t="b">
        <f t="shared" si="1"/>
        <v>1</v>
      </c>
      <c r="F11" s="4">
        <v>1907</v>
      </c>
      <c r="G11" s="9">
        <f>Datos_wide!C11</f>
        <v>1907</v>
      </c>
      <c r="H11" s="3">
        <f t="shared" si="2"/>
        <v>0</v>
      </c>
      <c r="I11" s="3" t="b">
        <f t="shared" si="3"/>
        <v>1</v>
      </c>
      <c r="J11" s="4">
        <v>105</v>
      </c>
      <c r="K11" s="9">
        <f>Datos_wide!D11</f>
        <v>195</v>
      </c>
      <c r="L11" s="3">
        <f t="shared" si="4"/>
        <v>90</v>
      </c>
      <c r="M11" s="3" t="b">
        <f t="shared" si="5"/>
        <v>0</v>
      </c>
      <c r="N11" s="4">
        <v>0</v>
      </c>
      <c r="O11" s="9">
        <f>Datos_wide!E11</f>
        <v>0</v>
      </c>
      <c r="P11" s="3">
        <f t="shared" si="6"/>
        <v>0</v>
      </c>
      <c r="Q11" s="3" t="b">
        <f t="shared" si="7"/>
        <v>1</v>
      </c>
      <c r="R11" s="4">
        <v>0</v>
      </c>
      <c r="S11" s="9">
        <f>Datos_wide!F11</f>
        <v>0</v>
      </c>
      <c r="T11" s="3">
        <f t="shared" si="8"/>
        <v>0</v>
      </c>
      <c r="U11" s="3" t="b">
        <f t="shared" si="9"/>
        <v>1</v>
      </c>
      <c r="V11" s="4">
        <v>2012</v>
      </c>
      <c r="W11" s="9">
        <f>Datos_wide!N11</f>
        <v>2102</v>
      </c>
      <c r="X11" s="3">
        <f t="shared" si="10"/>
        <v>90</v>
      </c>
      <c r="Y11" s="3" t="b">
        <f t="shared" si="11"/>
        <v>0</v>
      </c>
      <c r="Z11" s="3">
        <f>SUM(Datos_wide!B11:F11)</f>
        <v>2102</v>
      </c>
      <c r="AA11" s="3">
        <f>SUMIF(Datos_long!$A$2:$A$269,$A11,Datos_long!$E$2:$E$269)</f>
        <v>2102</v>
      </c>
      <c r="AB11" s="3">
        <f t="shared" si="12"/>
        <v>0</v>
      </c>
      <c r="AC11" s="13" t="b">
        <f t="shared" si="13"/>
        <v>1</v>
      </c>
      <c r="AD11" s="3">
        <f t="shared" si="14"/>
        <v>1</v>
      </c>
      <c r="AE11" t="str">
        <f t="shared" si="15"/>
        <v>Difiere del dato publicado</v>
      </c>
    </row>
    <row r="12" spans="1:31">
      <c r="A12">
        <v>2034</v>
      </c>
      <c r="B12" s="4">
        <v>0</v>
      </c>
      <c r="C12" s="9">
        <f>Datos_wide!B12</f>
        <v>0</v>
      </c>
      <c r="D12" s="3">
        <f t="shared" si="0"/>
        <v>0</v>
      </c>
      <c r="E12" s="3" t="b">
        <f t="shared" si="1"/>
        <v>1</v>
      </c>
      <c r="F12" s="4">
        <v>1907</v>
      </c>
      <c r="G12" s="9">
        <f>Datos_wide!C12</f>
        <v>1907</v>
      </c>
      <c r="H12" s="3">
        <f t="shared" si="2"/>
        <v>0</v>
      </c>
      <c r="I12" s="3" t="b">
        <f t="shared" si="3"/>
        <v>1</v>
      </c>
      <c r="J12" s="4">
        <v>30</v>
      </c>
      <c r="K12" s="9">
        <f>Datos_wide!D12</f>
        <v>247</v>
      </c>
      <c r="L12" s="3">
        <f t="shared" si="4"/>
        <v>217</v>
      </c>
      <c r="M12" s="3" t="b">
        <f t="shared" si="5"/>
        <v>0</v>
      </c>
      <c r="N12" s="4">
        <v>0</v>
      </c>
      <c r="O12" s="9">
        <f>Datos_wide!E12</f>
        <v>0</v>
      </c>
      <c r="P12" s="3">
        <f t="shared" si="6"/>
        <v>0</v>
      </c>
      <c r="Q12" s="3" t="b">
        <f t="shared" si="7"/>
        <v>1</v>
      </c>
      <c r="R12" s="4">
        <v>0</v>
      </c>
      <c r="S12" s="9">
        <f>Datos_wide!F12</f>
        <v>0</v>
      </c>
      <c r="T12" s="3">
        <f t="shared" si="8"/>
        <v>0</v>
      </c>
      <c r="U12" s="3" t="b">
        <f t="shared" si="9"/>
        <v>1</v>
      </c>
      <c r="V12" s="4">
        <v>1937</v>
      </c>
      <c r="W12" s="9">
        <f>Datos_wide!N12</f>
        <v>2154</v>
      </c>
      <c r="X12" s="3">
        <f t="shared" si="10"/>
        <v>217</v>
      </c>
      <c r="Y12" s="3" t="b">
        <f t="shared" si="11"/>
        <v>0</v>
      </c>
      <c r="Z12" s="3">
        <f>SUM(Datos_wide!B12:F12)</f>
        <v>2154</v>
      </c>
      <c r="AA12" s="3">
        <f>SUMIF(Datos_long!$A$2:$A$269,$A12,Datos_long!$E$2:$E$269)</f>
        <v>2154</v>
      </c>
      <c r="AB12" s="3">
        <f t="shared" si="12"/>
        <v>0</v>
      </c>
      <c r="AC12" s="13" t="b">
        <f t="shared" si="13"/>
        <v>1</v>
      </c>
      <c r="AD12" s="3">
        <f t="shared" si="14"/>
        <v>1</v>
      </c>
      <c r="AE12" t="str">
        <f t="shared" si="15"/>
        <v>Difiere del dato publicado</v>
      </c>
    </row>
    <row r="13" spans="1:31">
      <c r="A13">
        <v>2035</v>
      </c>
      <c r="B13" s="4">
        <v>0</v>
      </c>
      <c r="C13" s="9">
        <f>Datos_wide!B13</f>
        <v>0</v>
      </c>
      <c r="D13" s="3">
        <f t="shared" si="0"/>
        <v>0</v>
      </c>
      <c r="E13" s="3" t="b">
        <f t="shared" si="1"/>
        <v>1</v>
      </c>
      <c r="F13" s="4">
        <v>1882</v>
      </c>
      <c r="G13" s="9">
        <f>Datos_wide!C13</f>
        <v>1882</v>
      </c>
      <c r="H13" s="3">
        <f t="shared" si="2"/>
        <v>0</v>
      </c>
      <c r="I13" s="3" t="b">
        <f t="shared" si="3"/>
        <v>1</v>
      </c>
      <c r="J13" s="4">
        <v>52</v>
      </c>
      <c r="K13" s="9">
        <f>Datos_wide!D13</f>
        <v>141</v>
      </c>
      <c r="L13" s="3">
        <f t="shared" si="4"/>
        <v>89</v>
      </c>
      <c r="M13" s="3" t="b">
        <f t="shared" si="5"/>
        <v>0</v>
      </c>
      <c r="N13" s="4">
        <v>0</v>
      </c>
      <c r="O13" s="9">
        <f>Datos_wide!E13</f>
        <v>0</v>
      </c>
      <c r="P13" s="3">
        <f t="shared" si="6"/>
        <v>0</v>
      </c>
      <c r="Q13" s="3" t="b">
        <f t="shared" si="7"/>
        <v>1</v>
      </c>
      <c r="R13" s="4">
        <v>0</v>
      </c>
      <c r="S13" s="9">
        <f>Datos_wide!F13</f>
        <v>0</v>
      </c>
      <c r="T13" s="3">
        <f t="shared" si="8"/>
        <v>0</v>
      </c>
      <c r="U13" s="3" t="b">
        <f t="shared" si="9"/>
        <v>1</v>
      </c>
      <c r="V13" s="4">
        <v>1934</v>
      </c>
      <c r="W13" s="9">
        <f>Datos_wide!N13</f>
        <v>2023</v>
      </c>
      <c r="X13" s="3">
        <f t="shared" si="10"/>
        <v>89</v>
      </c>
      <c r="Y13" s="3" t="b">
        <f t="shared" si="11"/>
        <v>0</v>
      </c>
      <c r="Z13" s="3">
        <f>SUM(Datos_wide!B13:F13)</f>
        <v>2023</v>
      </c>
      <c r="AA13" s="3">
        <f>SUMIF(Datos_long!$A$2:$A$269,$A13,Datos_long!$E$2:$E$269)</f>
        <v>2023</v>
      </c>
      <c r="AB13" s="3">
        <f t="shared" si="12"/>
        <v>0</v>
      </c>
      <c r="AC13" s="13" t="b">
        <f t="shared" si="13"/>
        <v>1</v>
      </c>
      <c r="AD13" s="3">
        <f t="shared" si="14"/>
        <v>1</v>
      </c>
      <c r="AE13" t="str">
        <f t="shared" si="15"/>
        <v>Difiere del dato publicado</v>
      </c>
    </row>
    <row r="14" spans="1:31">
      <c r="A14">
        <v>2036</v>
      </c>
      <c r="B14" s="4">
        <v>0</v>
      </c>
      <c r="C14" s="9">
        <f>Datos_wide!B14</f>
        <v>0</v>
      </c>
      <c r="D14" s="3">
        <f t="shared" si="0"/>
        <v>0</v>
      </c>
      <c r="E14" s="3" t="b">
        <f t="shared" si="1"/>
        <v>1</v>
      </c>
      <c r="F14" s="4">
        <v>1729</v>
      </c>
      <c r="G14" s="9">
        <f>Datos_wide!C14</f>
        <v>1729</v>
      </c>
      <c r="H14" s="3">
        <f t="shared" si="2"/>
        <v>0</v>
      </c>
      <c r="I14" s="3" t="b">
        <f t="shared" si="3"/>
        <v>1</v>
      </c>
      <c r="J14" s="4">
        <v>31</v>
      </c>
      <c r="K14" s="9">
        <f>Datos_wide!D14</f>
        <v>143</v>
      </c>
      <c r="L14" s="3">
        <f t="shared" si="4"/>
        <v>112</v>
      </c>
      <c r="M14" s="3" t="b">
        <f t="shared" si="5"/>
        <v>0</v>
      </c>
      <c r="N14" s="4">
        <v>0</v>
      </c>
      <c r="O14" s="9">
        <f>Datos_wide!E14</f>
        <v>0</v>
      </c>
      <c r="P14" s="3">
        <f t="shared" si="6"/>
        <v>0</v>
      </c>
      <c r="Q14" s="3" t="b">
        <f t="shared" si="7"/>
        <v>1</v>
      </c>
      <c r="R14" s="4">
        <v>0</v>
      </c>
      <c r="S14" s="9">
        <f>Datos_wide!F14</f>
        <v>0</v>
      </c>
      <c r="T14" s="3">
        <f t="shared" si="8"/>
        <v>0</v>
      </c>
      <c r="U14" s="3" t="b">
        <f t="shared" si="9"/>
        <v>1</v>
      </c>
      <c r="V14" s="4">
        <v>1760</v>
      </c>
      <c r="W14" s="9">
        <f>Datos_wide!N14</f>
        <v>1872</v>
      </c>
      <c r="X14" s="3">
        <f t="shared" si="10"/>
        <v>112</v>
      </c>
      <c r="Y14" s="3" t="b">
        <f t="shared" si="11"/>
        <v>0</v>
      </c>
      <c r="Z14" s="3">
        <f>SUM(Datos_wide!B14:F14)</f>
        <v>1872</v>
      </c>
      <c r="AA14" s="3">
        <f>SUMIF(Datos_long!$A$2:$A$269,$A14,Datos_long!$E$2:$E$269)</f>
        <v>1872</v>
      </c>
      <c r="AB14" s="3">
        <f t="shared" si="12"/>
        <v>0</v>
      </c>
      <c r="AC14" s="13" t="b">
        <f t="shared" si="13"/>
        <v>1</v>
      </c>
      <c r="AD14" s="3">
        <f t="shared" si="14"/>
        <v>1</v>
      </c>
      <c r="AE14" t="str">
        <f t="shared" si="15"/>
        <v>Difiere del dato publicado</v>
      </c>
    </row>
    <row r="15" spans="1:31">
      <c r="A15">
        <v>2037</v>
      </c>
      <c r="B15" s="4">
        <v>0</v>
      </c>
      <c r="C15" s="9">
        <f>Datos_wide!B15</f>
        <v>0</v>
      </c>
      <c r="D15" s="3">
        <f t="shared" si="0"/>
        <v>0</v>
      </c>
      <c r="E15" s="3" t="b">
        <f t="shared" si="1"/>
        <v>1</v>
      </c>
      <c r="F15" s="4">
        <v>1543</v>
      </c>
      <c r="G15" s="9">
        <f>Datos_wide!C15</f>
        <v>1543</v>
      </c>
      <c r="H15" s="3">
        <f t="shared" si="2"/>
        <v>0</v>
      </c>
      <c r="I15" s="3" t="b">
        <f t="shared" si="3"/>
        <v>1</v>
      </c>
      <c r="J15" s="4">
        <v>32</v>
      </c>
      <c r="K15" s="9">
        <f>Datos_wide!D15</f>
        <v>162</v>
      </c>
      <c r="L15" s="3">
        <f t="shared" si="4"/>
        <v>130</v>
      </c>
      <c r="M15" s="3" t="b">
        <f t="shared" si="5"/>
        <v>0</v>
      </c>
      <c r="N15" s="4">
        <v>0</v>
      </c>
      <c r="O15" s="9">
        <f>Datos_wide!E15</f>
        <v>0</v>
      </c>
      <c r="P15" s="3">
        <f t="shared" si="6"/>
        <v>0</v>
      </c>
      <c r="Q15" s="3" t="b">
        <f t="shared" si="7"/>
        <v>1</v>
      </c>
      <c r="R15" s="4">
        <v>0</v>
      </c>
      <c r="S15" s="9">
        <f>Datos_wide!F15</f>
        <v>0</v>
      </c>
      <c r="T15" s="3">
        <f t="shared" si="8"/>
        <v>0</v>
      </c>
      <c r="U15" s="3" t="b">
        <f t="shared" si="9"/>
        <v>1</v>
      </c>
      <c r="V15" s="4">
        <v>1575</v>
      </c>
      <c r="W15" s="9">
        <f>Datos_wide!N15</f>
        <v>1705</v>
      </c>
      <c r="X15" s="3">
        <f t="shared" si="10"/>
        <v>130</v>
      </c>
      <c r="Y15" s="3" t="b">
        <f t="shared" si="11"/>
        <v>0</v>
      </c>
      <c r="Z15" s="3">
        <f>SUM(Datos_wide!B15:F15)</f>
        <v>1705</v>
      </c>
      <c r="AA15" s="3">
        <f>SUMIF(Datos_long!$A$2:$A$269,$A15,Datos_long!$E$2:$E$269)</f>
        <v>1705</v>
      </c>
      <c r="AB15" s="3">
        <f t="shared" si="12"/>
        <v>0</v>
      </c>
      <c r="AC15" s="13" t="b">
        <f t="shared" si="13"/>
        <v>1</v>
      </c>
      <c r="AD15" s="3">
        <f t="shared" si="14"/>
        <v>1</v>
      </c>
      <c r="AE15" t="str">
        <f t="shared" si="15"/>
        <v>Difiere del dato publicado</v>
      </c>
    </row>
    <row r="16" spans="1:31">
      <c r="A16">
        <v>2038</v>
      </c>
      <c r="B16" s="4">
        <v>0</v>
      </c>
      <c r="C16" s="9">
        <f>Datos_wide!B16</f>
        <v>0</v>
      </c>
      <c r="D16" s="3">
        <f t="shared" si="0"/>
        <v>0</v>
      </c>
      <c r="E16" s="3" t="b">
        <f t="shared" si="1"/>
        <v>1</v>
      </c>
      <c r="F16" s="4">
        <v>1491</v>
      </c>
      <c r="G16" s="9">
        <f>Datos_wide!C16</f>
        <v>1491</v>
      </c>
      <c r="H16" s="3">
        <f t="shared" si="2"/>
        <v>0</v>
      </c>
      <c r="I16" s="3" t="b">
        <f t="shared" si="3"/>
        <v>1</v>
      </c>
      <c r="J16" s="4">
        <v>29</v>
      </c>
      <c r="K16" s="9">
        <f>Datos_wide!D16</f>
        <v>134</v>
      </c>
      <c r="L16" s="3">
        <f t="shared" si="4"/>
        <v>105</v>
      </c>
      <c r="M16" s="3" t="b">
        <f t="shared" si="5"/>
        <v>0</v>
      </c>
      <c r="N16" s="4">
        <v>0</v>
      </c>
      <c r="O16" s="9">
        <f>Datos_wide!E16</f>
        <v>0</v>
      </c>
      <c r="P16" s="3">
        <f t="shared" si="6"/>
        <v>0</v>
      </c>
      <c r="Q16" s="3" t="b">
        <f t="shared" si="7"/>
        <v>1</v>
      </c>
      <c r="R16" s="4">
        <v>0</v>
      </c>
      <c r="S16" s="9">
        <f>Datos_wide!F16</f>
        <v>0</v>
      </c>
      <c r="T16" s="3">
        <f t="shared" si="8"/>
        <v>0</v>
      </c>
      <c r="U16" s="3" t="b">
        <f t="shared" si="9"/>
        <v>1</v>
      </c>
      <c r="V16" s="4">
        <v>1520</v>
      </c>
      <c r="W16" s="9">
        <f>Datos_wide!N16</f>
        <v>1625</v>
      </c>
      <c r="X16" s="3">
        <f t="shared" si="10"/>
        <v>105</v>
      </c>
      <c r="Y16" s="3" t="b">
        <f t="shared" si="11"/>
        <v>0</v>
      </c>
      <c r="Z16" s="3">
        <f>SUM(Datos_wide!B16:F16)</f>
        <v>1625</v>
      </c>
      <c r="AA16" s="3">
        <f>SUMIF(Datos_long!$A$2:$A$269,$A16,Datos_long!$E$2:$E$269)</f>
        <v>1625</v>
      </c>
      <c r="AB16" s="3">
        <f t="shared" si="12"/>
        <v>0</v>
      </c>
      <c r="AC16" s="13" t="b">
        <f t="shared" si="13"/>
        <v>1</v>
      </c>
      <c r="AD16" s="3">
        <f t="shared" si="14"/>
        <v>1</v>
      </c>
      <c r="AE16" t="str">
        <f t="shared" si="15"/>
        <v>Difiere del dato publicado</v>
      </c>
    </row>
    <row r="17" spans="1:31">
      <c r="A17">
        <v>2039</v>
      </c>
      <c r="B17" s="4">
        <v>0</v>
      </c>
      <c r="C17" s="9">
        <f>Datos_wide!B17</f>
        <v>0</v>
      </c>
      <c r="D17" s="3">
        <f t="shared" si="0"/>
        <v>0</v>
      </c>
      <c r="E17" s="3" t="b">
        <f t="shared" si="1"/>
        <v>1</v>
      </c>
      <c r="F17" s="4">
        <v>1603</v>
      </c>
      <c r="G17" s="9">
        <f>Datos_wide!C17</f>
        <v>1603</v>
      </c>
      <c r="H17" s="3">
        <f t="shared" si="2"/>
        <v>0</v>
      </c>
      <c r="I17" s="3" t="b">
        <f t="shared" si="3"/>
        <v>1</v>
      </c>
      <c r="J17" s="4">
        <v>31</v>
      </c>
      <c r="K17" s="9">
        <f>Datos_wide!D17</f>
        <v>145</v>
      </c>
      <c r="L17" s="3">
        <f t="shared" si="4"/>
        <v>114</v>
      </c>
      <c r="M17" s="3" t="b">
        <f t="shared" si="5"/>
        <v>0</v>
      </c>
      <c r="N17" s="4">
        <v>0</v>
      </c>
      <c r="O17" s="9">
        <f>Datos_wide!E17</f>
        <v>0</v>
      </c>
      <c r="P17" s="3">
        <f t="shared" si="6"/>
        <v>0</v>
      </c>
      <c r="Q17" s="3" t="b">
        <f t="shared" si="7"/>
        <v>1</v>
      </c>
      <c r="R17" s="4">
        <v>0</v>
      </c>
      <c r="S17" s="9">
        <f>Datos_wide!F17</f>
        <v>0</v>
      </c>
      <c r="T17" s="3">
        <f t="shared" si="8"/>
        <v>0</v>
      </c>
      <c r="U17" s="3" t="b">
        <f t="shared" si="9"/>
        <v>1</v>
      </c>
      <c r="V17" s="4">
        <v>1634</v>
      </c>
      <c r="W17" s="9">
        <f>Datos_wide!N17</f>
        <v>1748</v>
      </c>
      <c r="X17" s="3">
        <f t="shared" si="10"/>
        <v>114</v>
      </c>
      <c r="Y17" s="3" t="b">
        <f t="shared" si="11"/>
        <v>0</v>
      </c>
      <c r="Z17" s="3">
        <f>SUM(Datos_wide!B17:F17)</f>
        <v>1748</v>
      </c>
      <c r="AA17" s="3">
        <f>SUMIF(Datos_long!$A$2:$A$269,$A17,Datos_long!$E$2:$E$269)</f>
        <v>1748</v>
      </c>
      <c r="AB17" s="3">
        <f t="shared" si="12"/>
        <v>0</v>
      </c>
      <c r="AC17" s="13" t="b">
        <f t="shared" si="13"/>
        <v>1</v>
      </c>
      <c r="AD17" s="3">
        <f t="shared" si="14"/>
        <v>1</v>
      </c>
      <c r="AE17" t="str">
        <f t="shared" si="15"/>
        <v>Difiere del dato publicado</v>
      </c>
    </row>
    <row r="18" spans="1:31">
      <c r="A18">
        <v>2040</v>
      </c>
      <c r="B18" s="4">
        <v>0</v>
      </c>
      <c r="C18" s="9">
        <f>Datos_wide!B18</f>
        <v>0</v>
      </c>
      <c r="D18" s="3">
        <f t="shared" si="0"/>
        <v>0</v>
      </c>
      <c r="E18" s="3" t="b">
        <f t="shared" si="1"/>
        <v>1</v>
      </c>
      <c r="F18" s="4">
        <v>1773</v>
      </c>
      <c r="G18" s="9">
        <f>Datos_wide!C18</f>
        <v>1773</v>
      </c>
      <c r="H18" s="3">
        <f t="shared" si="2"/>
        <v>0</v>
      </c>
      <c r="I18" s="3" t="b">
        <f t="shared" si="3"/>
        <v>1</v>
      </c>
      <c r="J18" s="4">
        <v>25</v>
      </c>
      <c r="K18" s="9">
        <f>Datos_wide!D18</f>
        <v>140</v>
      </c>
      <c r="L18" s="3">
        <f t="shared" si="4"/>
        <v>115</v>
      </c>
      <c r="M18" s="3" t="b">
        <f t="shared" si="5"/>
        <v>0</v>
      </c>
      <c r="N18" s="4">
        <v>0</v>
      </c>
      <c r="O18" s="9">
        <f>Datos_wide!E18</f>
        <v>0</v>
      </c>
      <c r="P18" s="3">
        <f t="shared" si="6"/>
        <v>0</v>
      </c>
      <c r="Q18" s="3" t="b">
        <f t="shared" si="7"/>
        <v>1</v>
      </c>
      <c r="R18" s="4">
        <v>0</v>
      </c>
      <c r="S18" s="9">
        <f>Datos_wide!F18</f>
        <v>0</v>
      </c>
      <c r="T18" s="3">
        <f t="shared" si="8"/>
        <v>0</v>
      </c>
      <c r="U18" s="3" t="b">
        <f t="shared" si="9"/>
        <v>1</v>
      </c>
      <c r="V18" s="4">
        <v>1798</v>
      </c>
      <c r="W18" s="9">
        <f>Datos_wide!N18</f>
        <v>1913</v>
      </c>
      <c r="X18" s="3">
        <f t="shared" si="10"/>
        <v>115</v>
      </c>
      <c r="Y18" s="3" t="b">
        <f t="shared" si="11"/>
        <v>0</v>
      </c>
      <c r="Z18" s="3">
        <f>SUM(Datos_wide!B18:F18)</f>
        <v>1913</v>
      </c>
      <c r="AA18" s="3">
        <f>SUMIF(Datos_long!$A$2:$A$269,$A18,Datos_long!$E$2:$E$269)</f>
        <v>1913</v>
      </c>
      <c r="AB18" s="3">
        <f t="shared" si="12"/>
        <v>0</v>
      </c>
      <c r="AC18" s="13" t="b">
        <f t="shared" si="13"/>
        <v>1</v>
      </c>
      <c r="AD18" s="3">
        <f t="shared" si="14"/>
        <v>1</v>
      </c>
      <c r="AE18" t="str">
        <f t="shared" si="15"/>
        <v>Difiere del dato publicado</v>
      </c>
    </row>
    <row r="19" spans="1:31">
      <c r="A19">
        <v>2041</v>
      </c>
      <c r="B19" s="4">
        <v>0</v>
      </c>
      <c r="C19" s="9">
        <f>Datos_wide!B19</f>
        <v>0</v>
      </c>
      <c r="D19" s="3">
        <f t="shared" si="0"/>
        <v>0</v>
      </c>
      <c r="E19" s="3" t="b">
        <f t="shared" si="1"/>
        <v>1</v>
      </c>
      <c r="F19" s="4">
        <v>1657</v>
      </c>
      <c r="G19" s="9">
        <f>Datos_wide!C19</f>
        <v>1657</v>
      </c>
      <c r="H19" s="3">
        <f t="shared" si="2"/>
        <v>0</v>
      </c>
      <c r="I19" s="3" t="b">
        <f t="shared" si="3"/>
        <v>1</v>
      </c>
      <c r="J19" s="4">
        <v>27</v>
      </c>
      <c r="K19" s="9">
        <f>Datos_wide!D19</f>
        <v>188</v>
      </c>
      <c r="L19" s="3">
        <f t="shared" si="4"/>
        <v>161</v>
      </c>
      <c r="M19" s="3" t="b">
        <f t="shared" si="5"/>
        <v>0</v>
      </c>
      <c r="N19" s="4">
        <v>0</v>
      </c>
      <c r="O19" s="9">
        <f>Datos_wide!E19</f>
        <v>0</v>
      </c>
      <c r="P19" s="3">
        <f t="shared" si="6"/>
        <v>0</v>
      </c>
      <c r="Q19" s="3" t="b">
        <f t="shared" si="7"/>
        <v>1</v>
      </c>
      <c r="R19" s="4">
        <v>0</v>
      </c>
      <c r="S19" s="9">
        <f>Datos_wide!F19</f>
        <v>0</v>
      </c>
      <c r="T19" s="3">
        <f t="shared" si="8"/>
        <v>0</v>
      </c>
      <c r="U19" s="3" t="b">
        <f t="shared" si="9"/>
        <v>1</v>
      </c>
      <c r="V19" s="4">
        <v>1684</v>
      </c>
      <c r="W19" s="9">
        <f>Datos_wide!N19</f>
        <v>1845</v>
      </c>
      <c r="X19" s="3">
        <f t="shared" si="10"/>
        <v>161</v>
      </c>
      <c r="Y19" s="3" t="b">
        <f t="shared" si="11"/>
        <v>0</v>
      </c>
      <c r="Z19" s="3">
        <f>SUM(Datos_wide!B19:F19)</f>
        <v>1845</v>
      </c>
      <c r="AA19" s="3">
        <f>SUMIF(Datos_long!$A$2:$A$269,$A19,Datos_long!$E$2:$E$269)</f>
        <v>1845</v>
      </c>
      <c r="AB19" s="3">
        <f t="shared" si="12"/>
        <v>0</v>
      </c>
      <c r="AC19" s="13" t="b">
        <f t="shared" si="13"/>
        <v>1</v>
      </c>
      <c r="AD19" s="3">
        <f t="shared" si="14"/>
        <v>1</v>
      </c>
      <c r="AE19" t="str">
        <f t="shared" si="15"/>
        <v>Difiere del dato publicado</v>
      </c>
    </row>
    <row r="20" spans="1:31">
      <c r="A20">
        <v>2042</v>
      </c>
      <c r="B20" s="4">
        <v>0</v>
      </c>
      <c r="C20" s="9">
        <f>Datos_wide!B20</f>
        <v>0</v>
      </c>
      <c r="D20" s="3">
        <f t="shared" si="0"/>
        <v>0</v>
      </c>
      <c r="E20" s="3" t="b">
        <f t="shared" si="1"/>
        <v>1</v>
      </c>
      <c r="F20" s="4">
        <v>863</v>
      </c>
      <c r="G20" s="9">
        <f>Datos_wide!C20</f>
        <v>863</v>
      </c>
      <c r="H20" s="3">
        <f t="shared" si="2"/>
        <v>0</v>
      </c>
      <c r="I20" s="3" t="b">
        <f t="shared" si="3"/>
        <v>1</v>
      </c>
      <c r="J20" s="4">
        <v>30</v>
      </c>
      <c r="K20" s="9">
        <f>Datos_wide!D20</f>
        <v>227</v>
      </c>
      <c r="L20" s="3">
        <f t="shared" si="4"/>
        <v>197</v>
      </c>
      <c r="M20" s="3" t="b">
        <f t="shared" si="5"/>
        <v>0</v>
      </c>
      <c r="N20" s="4">
        <v>0</v>
      </c>
      <c r="O20" s="9">
        <f>Datos_wide!E20</f>
        <v>0</v>
      </c>
      <c r="P20" s="3">
        <f t="shared" si="6"/>
        <v>0</v>
      </c>
      <c r="Q20" s="3" t="b">
        <f t="shared" si="7"/>
        <v>1</v>
      </c>
      <c r="R20" s="4">
        <v>0</v>
      </c>
      <c r="S20" s="9">
        <f>Datos_wide!F20</f>
        <v>0</v>
      </c>
      <c r="T20" s="3">
        <f t="shared" si="8"/>
        <v>0</v>
      </c>
      <c r="U20" s="3" t="b">
        <f t="shared" si="9"/>
        <v>1</v>
      </c>
      <c r="V20" s="4">
        <v>893</v>
      </c>
      <c r="W20" s="9">
        <f>Datos_wide!N20</f>
        <v>1090</v>
      </c>
      <c r="X20" s="3">
        <f t="shared" si="10"/>
        <v>197</v>
      </c>
      <c r="Y20" s="3" t="b">
        <f t="shared" si="11"/>
        <v>0</v>
      </c>
      <c r="Z20" s="3">
        <f>SUM(Datos_wide!B20:F20)</f>
        <v>1090</v>
      </c>
      <c r="AA20" s="3">
        <f>SUMIF(Datos_long!$A$2:$A$269,$A20,Datos_long!$E$2:$E$269)</f>
        <v>1090</v>
      </c>
      <c r="AB20" s="3">
        <f t="shared" si="12"/>
        <v>0</v>
      </c>
      <c r="AC20" s="13" t="b">
        <f t="shared" si="13"/>
        <v>1</v>
      </c>
      <c r="AD20" s="3">
        <f t="shared" si="14"/>
        <v>1</v>
      </c>
      <c r="AE20" t="str">
        <f t="shared" si="15"/>
        <v>Difiere del dato publicado</v>
      </c>
    </row>
    <row r="21" spans="1:31">
      <c r="A21">
        <v>2043</v>
      </c>
      <c r="B21" s="4">
        <v>0</v>
      </c>
      <c r="C21" s="9">
        <f>Datos_wide!B21</f>
        <v>0</v>
      </c>
      <c r="D21" s="3">
        <f t="shared" si="0"/>
        <v>0</v>
      </c>
      <c r="E21" s="3" t="b">
        <f t="shared" si="1"/>
        <v>1</v>
      </c>
      <c r="F21" s="4">
        <v>735</v>
      </c>
      <c r="G21" s="9">
        <f>Datos_wide!C21</f>
        <v>735</v>
      </c>
      <c r="H21" s="3">
        <f t="shared" si="2"/>
        <v>0</v>
      </c>
      <c r="I21" s="3" t="b">
        <f t="shared" si="3"/>
        <v>1</v>
      </c>
      <c r="J21" s="4">
        <v>73</v>
      </c>
      <c r="K21" s="9">
        <f>Datos_wide!D21</f>
        <v>242</v>
      </c>
      <c r="L21" s="3">
        <f t="shared" si="4"/>
        <v>169</v>
      </c>
      <c r="M21" s="3" t="b">
        <f t="shared" si="5"/>
        <v>0</v>
      </c>
      <c r="N21" s="4">
        <v>0</v>
      </c>
      <c r="O21" s="9">
        <f>Datos_wide!E21</f>
        <v>0</v>
      </c>
      <c r="P21" s="3">
        <f t="shared" si="6"/>
        <v>0</v>
      </c>
      <c r="Q21" s="3" t="b">
        <f t="shared" si="7"/>
        <v>1</v>
      </c>
      <c r="R21" s="4">
        <v>0</v>
      </c>
      <c r="S21" s="9">
        <f>Datos_wide!F21</f>
        <v>0</v>
      </c>
      <c r="T21" s="3">
        <f t="shared" si="8"/>
        <v>0</v>
      </c>
      <c r="U21" s="3" t="b">
        <f t="shared" si="9"/>
        <v>1</v>
      </c>
      <c r="V21" s="4">
        <v>808</v>
      </c>
      <c r="W21" s="9">
        <f>Datos_wide!N21</f>
        <v>977</v>
      </c>
      <c r="X21" s="3">
        <f t="shared" si="10"/>
        <v>169</v>
      </c>
      <c r="Y21" s="3" t="b">
        <f t="shared" si="11"/>
        <v>0</v>
      </c>
      <c r="Z21" s="3">
        <f>SUM(Datos_wide!B21:F21)</f>
        <v>977</v>
      </c>
      <c r="AA21" s="3">
        <f>SUMIF(Datos_long!$A$2:$A$269,$A21,Datos_long!$E$2:$E$269)</f>
        <v>977</v>
      </c>
      <c r="AB21" s="3">
        <f t="shared" si="12"/>
        <v>0</v>
      </c>
      <c r="AC21" s="13" t="b">
        <f t="shared" si="13"/>
        <v>1</v>
      </c>
      <c r="AD21" s="3">
        <f t="shared" si="14"/>
        <v>1</v>
      </c>
      <c r="AE21" t="str">
        <f t="shared" si="15"/>
        <v>Difiere del dato publicado</v>
      </c>
    </row>
    <row r="22" spans="1:31">
      <c r="A22">
        <v>2044</v>
      </c>
      <c r="B22" s="4">
        <v>0</v>
      </c>
      <c r="C22" s="9">
        <f>Datos_wide!B22</f>
        <v>0</v>
      </c>
      <c r="D22" s="3">
        <f t="shared" si="0"/>
        <v>0</v>
      </c>
      <c r="E22" s="3" t="b">
        <f t="shared" si="1"/>
        <v>1</v>
      </c>
      <c r="F22" s="4">
        <v>873</v>
      </c>
      <c r="G22" s="9">
        <f>Datos_wide!C22</f>
        <v>873</v>
      </c>
      <c r="H22" s="3">
        <f t="shared" si="2"/>
        <v>0</v>
      </c>
      <c r="I22" s="3" t="b">
        <f t="shared" si="3"/>
        <v>1</v>
      </c>
      <c r="J22" s="4">
        <v>94</v>
      </c>
      <c r="K22" s="9">
        <f>Datos_wide!D22</f>
        <v>307</v>
      </c>
      <c r="L22" s="3">
        <f t="shared" si="4"/>
        <v>213</v>
      </c>
      <c r="M22" s="3" t="b">
        <f t="shared" si="5"/>
        <v>0</v>
      </c>
      <c r="N22" s="4">
        <v>0</v>
      </c>
      <c r="O22" s="9">
        <f>Datos_wide!E22</f>
        <v>0</v>
      </c>
      <c r="P22" s="3">
        <f t="shared" si="6"/>
        <v>0</v>
      </c>
      <c r="Q22" s="3" t="b">
        <f t="shared" si="7"/>
        <v>1</v>
      </c>
      <c r="R22" s="4">
        <v>0</v>
      </c>
      <c r="S22" s="9">
        <f>Datos_wide!F22</f>
        <v>0</v>
      </c>
      <c r="T22" s="3">
        <f t="shared" si="8"/>
        <v>0</v>
      </c>
      <c r="U22" s="3" t="b">
        <f t="shared" si="9"/>
        <v>1</v>
      </c>
      <c r="V22" s="4">
        <v>967</v>
      </c>
      <c r="W22" s="9">
        <f>Datos_wide!N22</f>
        <v>1180</v>
      </c>
      <c r="X22" s="3">
        <f t="shared" si="10"/>
        <v>213</v>
      </c>
      <c r="Y22" s="3" t="b">
        <f t="shared" si="11"/>
        <v>0</v>
      </c>
      <c r="Z22" s="3">
        <f>SUM(Datos_wide!B22:F22)</f>
        <v>1180</v>
      </c>
      <c r="AA22" s="3">
        <f>SUMIF(Datos_long!$A$2:$A$269,$A22,Datos_long!$E$2:$E$269)</f>
        <v>1180</v>
      </c>
      <c r="AB22" s="3">
        <f t="shared" si="12"/>
        <v>0</v>
      </c>
      <c r="AC22" s="13" t="b">
        <f t="shared" si="13"/>
        <v>1</v>
      </c>
      <c r="AD22" s="3">
        <f t="shared" si="14"/>
        <v>1</v>
      </c>
      <c r="AE22" t="str">
        <f t="shared" si="15"/>
        <v>Difiere del dato publicado</v>
      </c>
    </row>
    <row r="23" spans="1:31">
      <c r="A23">
        <v>2045</v>
      </c>
      <c r="B23" s="4">
        <v>0</v>
      </c>
      <c r="C23" s="9">
        <f>Datos_wide!B23</f>
        <v>0</v>
      </c>
      <c r="D23" s="3">
        <f t="shared" si="0"/>
        <v>0</v>
      </c>
      <c r="E23" s="3" t="b">
        <f t="shared" si="1"/>
        <v>1</v>
      </c>
      <c r="F23" s="4">
        <v>878</v>
      </c>
      <c r="G23" s="9">
        <f>Datos_wide!C23</f>
        <v>878</v>
      </c>
      <c r="H23" s="3">
        <f t="shared" si="2"/>
        <v>0</v>
      </c>
      <c r="I23" s="3" t="b">
        <f t="shared" si="3"/>
        <v>1</v>
      </c>
      <c r="J23" s="4">
        <v>28</v>
      </c>
      <c r="K23" s="9">
        <f>Datos_wide!D23</f>
        <v>163</v>
      </c>
      <c r="L23" s="3">
        <f t="shared" si="4"/>
        <v>135</v>
      </c>
      <c r="M23" s="3" t="b">
        <f t="shared" si="5"/>
        <v>0</v>
      </c>
      <c r="N23" s="4">
        <v>0</v>
      </c>
      <c r="O23" s="9">
        <f>Datos_wide!E23</f>
        <v>0</v>
      </c>
      <c r="P23" s="3">
        <f t="shared" si="6"/>
        <v>0</v>
      </c>
      <c r="Q23" s="3" t="b">
        <f t="shared" si="7"/>
        <v>1</v>
      </c>
      <c r="R23" s="4">
        <v>0</v>
      </c>
      <c r="S23" s="9">
        <f>Datos_wide!F23</f>
        <v>0</v>
      </c>
      <c r="T23" s="3">
        <f t="shared" si="8"/>
        <v>0</v>
      </c>
      <c r="U23" s="3" t="b">
        <f t="shared" si="9"/>
        <v>1</v>
      </c>
      <c r="V23" s="4">
        <v>906</v>
      </c>
      <c r="W23" s="9">
        <f>Datos_wide!N23</f>
        <v>1041</v>
      </c>
      <c r="X23" s="3">
        <f t="shared" si="10"/>
        <v>135</v>
      </c>
      <c r="Y23" s="3" t="b">
        <f t="shared" si="11"/>
        <v>0</v>
      </c>
      <c r="Z23" s="3">
        <f>SUM(Datos_wide!B23:F23)</f>
        <v>1041</v>
      </c>
      <c r="AA23" s="3">
        <f>SUMIF(Datos_long!$A$2:$A$269,$A23,Datos_long!$E$2:$E$269)</f>
        <v>1041</v>
      </c>
      <c r="AB23" s="3">
        <f t="shared" si="12"/>
        <v>0</v>
      </c>
      <c r="AC23" s="13" t="b">
        <f t="shared" si="13"/>
        <v>1</v>
      </c>
      <c r="AD23" s="3">
        <f t="shared" si="14"/>
        <v>1</v>
      </c>
      <c r="AE23" t="str">
        <f t="shared" si="15"/>
        <v>Difiere del dato publicado</v>
      </c>
    </row>
    <row r="24" spans="1:31">
      <c r="A24">
        <v>2046</v>
      </c>
      <c r="B24" s="4">
        <v>0</v>
      </c>
      <c r="C24" s="9">
        <f>Datos_wide!B24</f>
        <v>0</v>
      </c>
      <c r="D24" s="3">
        <f t="shared" si="0"/>
        <v>0</v>
      </c>
      <c r="E24" s="3" t="b">
        <f t="shared" si="1"/>
        <v>1</v>
      </c>
      <c r="F24" s="4">
        <v>884</v>
      </c>
      <c r="G24" s="9">
        <f>Datos_wide!C24</f>
        <v>884</v>
      </c>
      <c r="H24" s="3">
        <f t="shared" si="2"/>
        <v>0</v>
      </c>
      <c r="I24" s="3" t="b">
        <f t="shared" si="3"/>
        <v>1</v>
      </c>
      <c r="J24" s="4">
        <v>28</v>
      </c>
      <c r="K24" s="9">
        <f>Datos_wide!D24</f>
        <v>74</v>
      </c>
      <c r="L24" s="3">
        <f t="shared" si="4"/>
        <v>46</v>
      </c>
      <c r="M24" s="3" t="b">
        <f t="shared" si="5"/>
        <v>0</v>
      </c>
      <c r="N24" s="4">
        <v>0</v>
      </c>
      <c r="O24" s="9">
        <f>Datos_wide!E24</f>
        <v>0</v>
      </c>
      <c r="P24" s="3">
        <f t="shared" si="6"/>
        <v>0</v>
      </c>
      <c r="Q24" s="3" t="b">
        <f t="shared" si="7"/>
        <v>1</v>
      </c>
      <c r="R24" s="4">
        <v>0</v>
      </c>
      <c r="S24" s="9">
        <f>Datos_wide!F24</f>
        <v>0</v>
      </c>
      <c r="T24" s="3">
        <f t="shared" si="8"/>
        <v>0</v>
      </c>
      <c r="U24" s="3" t="b">
        <f t="shared" si="9"/>
        <v>1</v>
      </c>
      <c r="V24" s="4">
        <v>912</v>
      </c>
      <c r="W24" s="9">
        <f>Datos_wide!N24</f>
        <v>958</v>
      </c>
      <c r="X24" s="3">
        <f t="shared" si="10"/>
        <v>46</v>
      </c>
      <c r="Y24" s="3" t="b">
        <f t="shared" si="11"/>
        <v>0</v>
      </c>
      <c r="Z24" s="3">
        <f>SUM(Datos_wide!B24:F24)</f>
        <v>958</v>
      </c>
      <c r="AA24" s="3">
        <f>SUMIF(Datos_long!$A$2:$A$269,$A24,Datos_long!$E$2:$E$269)</f>
        <v>958</v>
      </c>
      <c r="AB24" s="3">
        <f t="shared" si="12"/>
        <v>0</v>
      </c>
      <c r="AC24" s="13" t="b">
        <f t="shared" si="13"/>
        <v>1</v>
      </c>
      <c r="AD24" s="3">
        <f t="shared" si="14"/>
        <v>1</v>
      </c>
      <c r="AE24" t="str">
        <f t="shared" si="15"/>
        <v>Difiere del dato publicado</v>
      </c>
    </row>
    <row r="25" spans="1:31">
      <c r="A25">
        <v>2047</v>
      </c>
      <c r="B25" s="4">
        <v>0</v>
      </c>
      <c r="C25" s="9">
        <f>Datos_wide!B25</f>
        <v>0</v>
      </c>
      <c r="D25" s="3">
        <f t="shared" si="0"/>
        <v>0</v>
      </c>
      <c r="E25" s="3" t="b">
        <f t="shared" si="1"/>
        <v>1</v>
      </c>
      <c r="F25" s="4">
        <v>890</v>
      </c>
      <c r="G25" s="9">
        <f>Datos_wide!C25</f>
        <v>890</v>
      </c>
      <c r="H25" s="3">
        <f t="shared" si="2"/>
        <v>0</v>
      </c>
      <c r="I25" s="3" t="b">
        <f t="shared" si="3"/>
        <v>1</v>
      </c>
      <c r="J25" s="4">
        <v>8</v>
      </c>
      <c r="K25" s="9">
        <f>Datos_wide!D25</f>
        <v>54</v>
      </c>
      <c r="L25" s="3">
        <f t="shared" si="4"/>
        <v>46</v>
      </c>
      <c r="M25" s="3" t="b">
        <f t="shared" si="5"/>
        <v>0</v>
      </c>
      <c r="N25" s="4">
        <v>0</v>
      </c>
      <c r="O25" s="9">
        <f>Datos_wide!E25</f>
        <v>0</v>
      </c>
      <c r="P25" s="3">
        <f t="shared" si="6"/>
        <v>0</v>
      </c>
      <c r="Q25" s="3" t="b">
        <f t="shared" si="7"/>
        <v>1</v>
      </c>
      <c r="R25" s="4">
        <v>0</v>
      </c>
      <c r="S25" s="9">
        <f>Datos_wide!F25</f>
        <v>0</v>
      </c>
      <c r="T25" s="3">
        <f t="shared" si="8"/>
        <v>0</v>
      </c>
      <c r="U25" s="3" t="b">
        <f t="shared" si="9"/>
        <v>1</v>
      </c>
      <c r="V25" s="4">
        <v>898</v>
      </c>
      <c r="W25" s="9">
        <f>Datos_wide!N25</f>
        <v>944</v>
      </c>
      <c r="X25" s="3">
        <f t="shared" si="10"/>
        <v>46</v>
      </c>
      <c r="Y25" s="3" t="b">
        <f t="shared" si="11"/>
        <v>0</v>
      </c>
      <c r="Z25" s="3">
        <f>SUM(Datos_wide!B25:F25)</f>
        <v>944</v>
      </c>
      <c r="AA25" s="3">
        <f>SUMIF(Datos_long!$A$2:$A$269,$A25,Datos_long!$E$2:$E$269)</f>
        <v>944</v>
      </c>
      <c r="AB25" s="3">
        <f t="shared" si="12"/>
        <v>0</v>
      </c>
      <c r="AC25" s="13" t="b">
        <f t="shared" si="13"/>
        <v>1</v>
      </c>
      <c r="AD25" s="3">
        <f t="shared" si="14"/>
        <v>1</v>
      </c>
      <c r="AE25" t="str">
        <f t="shared" si="15"/>
        <v>Difiere del dato publicado</v>
      </c>
    </row>
    <row r="26" spans="1:31">
      <c r="A26">
        <v>2048</v>
      </c>
      <c r="B26" s="4">
        <v>0</v>
      </c>
      <c r="C26" s="9">
        <f>Datos_wide!B26</f>
        <v>0</v>
      </c>
      <c r="D26" s="3">
        <f t="shared" si="0"/>
        <v>0</v>
      </c>
      <c r="E26" s="3" t="b">
        <f t="shared" si="1"/>
        <v>1</v>
      </c>
      <c r="F26" s="4">
        <v>569</v>
      </c>
      <c r="G26" s="9">
        <f>Datos_wide!C26</f>
        <v>569</v>
      </c>
      <c r="H26" s="3">
        <f t="shared" si="2"/>
        <v>0</v>
      </c>
      <c r="I26" s="3" t="b">
        <f t="shared" si="3"/>
        <v>1</v>
      </c>
      <c r="J26" s="4">
        <v>8</v>
      </c>
      <c r="K26" s="9">
        <f>Datos_wide!D26</f>
        <v>51</v>
      </c>
      <c r="L26" s="3">
        <f t="shared" si="4"/>
        <v>43</v>
      </c>
      <c r="M26" s="3" t="b">
        <f t="shared" si="5"/>
        <v>0</v>
      </c>
      <c r="N26" s="4">
        <v>0</v>
      </c>
      <c r="O26" s="9">
        <f>Datos_wide!E26</f>
        <v>0</v>
      </c>
      <c r="P26" s="3">
        <f t="shared" si="6"/>
        <v>0</v>
      </c>
      <c r="Q26" s="3" t="b">
        <f t="shared" si="7"/>
        <v>1</v>
      </c>
      <c r="R26" s="4">
        <v>0</v>
      </c>
      <c r="S26" s="9">
        <f>Datos_wide!F26</f>
        <v>0</v>
      </c>
      <c r="T26" s="3">
        <f t="shared" si="8"/>
        <v>0</v>
      </c>
      <c r="U26" s="3" t="b">
        <f t="shared" si="9"/>
        <v>1</v>
      </c>
      <c r="V26" s="4">
        <v>577</v>
      </c>
      <c r="W26" s="9">
        <f>Datos_wide!N26</f>
        <v>620</v>
      </c>
      <c r="X26" s="3">
        <f t="shared" si="10"/>
        <v>43</v>
      </c>
      <c r="Y26" s="3" t="b">
        <f t="shared" si="11"/>
        <v>0</v>
      </c>
      <c r="Z26" s="3">
        <f>SUM(Datos_wide!B26:F26)</f>
        <v>620</v>
      </c>
      <c r="AA26" s="3">
        <f>SUMIF(Datos_long!$A$2:$A$269,$A26,Datos_long!$E$2:$E$269)</f>
        <v>620</v>
      </c>
      <c r="AB26" s="3">
        <f t="shared" si="12"/>
        <v>0</v>
      </c>
      <c r="AC26" s="13" t="b">
        <f t="shared" si="13"/>
        <v>1</v>
      </c>
      <c r="AD26" s="3">
        <f t="shared" si="14"/>
        <v>1</v>
      </c>
      <c r="AE26" t="str">
        <f t="shared" si="15"/>
        <v>Difiere del dato publicado</v>
      </c>
    </row>
    <row r="27" spans="1:31">
      <c r="A27">
        <v>2049</v>
      </c>
      <c r="B27" s="4">
        <v>0</v>
      </c>
      <c r="C27" s="9">
        <f>Datos_wide!B27</f>
        <v>0</v>
      </c>
      <c r="D27" s="3">
        <f t="shared" si="0"/>
        <v>0</v>
      </c>
      <c r="E27" s="3" t="b">
        <f t="shared" si="1"/>
        <v>1</v>
      </c>
      <c r="F27" s="4">
        <v>133</v>
      </c>
      <c r="G27" s="9">
        <f>Datos_wide!C27</f>
        <v>133</v>
      </c>
      <c r="H27" s="3">
        <f t="shared" si="2"/>
        <v>0</v>
      </c>
      <c r="I27" s="3" t="b">
        <f t="shared" si="3"/>
        <v>1</v>
      </c>
      <c r="J27" s="4">
        <v>8</v>
      </c>
      <c r="K27" s="9">
        <f>Datos_wide!D27</f>
        <v>44</v>
      </c>
      <c r="L27" s="3">
        <f t="shared" si="4"/>
        <v>36</v>
      </c>
      <c r="M27" s="3" t="b">
        <f t="shared" si="5"/>
        <v>0</v>
      </c>
      <c r="N27" s="4">
        <v>0</v>
      </c>
      <c r="O27" s="9">
        <f>Datos_wide!E27</f>
        <v>0</v>
      </c>
      <c r="P27" s="3">
        <f t="shared" si="6"/>
        <v>0</v>
      </c>
      <c r="Q27" s="3" t="b">
        <f t="shared" si="7"/>
        <v>1</v>
      </c>
      <c r="R27" s="4">
        <v>0</v>
      </c>
      <c r="S27" s="9">
        <f>Datos_wide!F27</f>
        <v>0</v>
      </c>
      <c r="T27" s="3">
        <f t="shared" si="8"/>
        <v>0</v>
      </c>
      <c r="U27" s="3" t="b">
        <f t="shared" si="9"/>
        <v>1</v>
      </c>
      <c r="V27" s="4">
        <v>141</v>
      </c>
      <c r="W27" s="9">
        <f>Datos_wide!N27</f>
        <v>177</v>
      </c>
      <c r="X27" s="3">
        <f t="shared" si="10"/>
        <v>36</v>
      </c>
      <c r="Y27" s="3" t="b">
        <f t="shared" si="11"/>
        <v>0</v>
      </c>
      <c r="Z27" s="3">
        <f>SUM(Datos_wide!B27:F27)</f>
        <v>177</v>
      </c>
      <c r="AA27" s="3">
        <f>SUMIF(Datos_long!$A$2:$A$269,$A27,Datos_long!$E$2:$E$269)</f>
        <v>177</v>
      </c>
      <c r="AB27" s="3">
        <f t="shared" si="12"/>
        <v>0</v>
      </c>
      <c r="AC27" s="13" t="b">
        <f t="shared" si="13"/>
        <v>1</v>
      </c>
      <c r="AD27" s="3">
        <f t="shared" si="14"/>
        <v>1</v>
      </c>
      <c r="AE27" t="str">
        <f t="shared" si="15"/>
        <v>Difiere del dato publicado</v>
      </c>
    </row>
    <row r="28" spans="1:31">
      <c r="A28">
        <v>2050</v>
      </c>
      <c r="B28" s="4">
        <v>0</v>
      </c>
      <c r="C28" s="9">
        <f>Datos_wide!B28</f>
        <v>0</v>
      </c>
      <c r="D28" s="3">
        <f t="shared" si="0"/>
        <v>0</v>
      </c>
      <c r="E28" s="3" t="b">
        <f t="shared" si="1"/>
        <v>1</v>
      </c>
      <c r="F28" s="4">
        <v>133</v>
      </c>
      <c r="G28" s="9">
        <f>Datos_wide!C28</f>
        <v>133</v>
      </c>
      <c r="H28" s="3">
        <f t="shared" si="2"/>
        <v>0</v>
      </c>
      <c r="I28" s="3" t="b">
        <f t="shared" si="3"/>
        <v>1</v>
      </c>
      <c r="J28" s="4">
        <v>8</v>
      </c>
      <c r="K28" s="9">
        <f>Datos_wide!D28</f>
        <v>17</v>
      </c>
      <c r="L28" s="3">
        <f t="shared" si="4"/>
        <v>9</v>
      </c>
      <c r="M28" s="3" t="b">
        <f t="shared" si="5"/>
        <v>0</v>
      </c>
      <c r="N28" s="4">
        <v>0</v>
      </c>
      <c r="O28" s="9">
        <f>Datos_wide!E28</f>
        <v>0</v>
      </c>
      <c r="P28" s="3">
        <f t="shared" si="6"/>
        <v>0</v>
      </c>
      <c r="Q28" s="3" t="b">
        <f t="shared" si="7"/>
        <v>1</v>
      </c>
      <c r="R28" s="4">
        <v>0</v>
      </c>
      <c r="S28" s="9">
        <f>Datos_wide!F28</f>
        <v>0</v>
      </c>
      <c r="T28" s="3">
        <f t="shared" si="8"/>
        <v>0</v>
      </c>
      <c r="U28" s="3" t="b">
        <f t="shared" si="9"/>
        <v>1</v>
      </c>
      <c r="V28" s="4">
        <v>141</v>
      </c>
      <c r="W28" s="9">
        <f>Datos_wide!N28</f>
        <v>150</v>
      </c>
      <c r="X28" s="3">
        <f t="shared" si="10"/>
        <v>9</v>
      </c>
      <c r="Y28" s="3" t="b">
        <f t="shared" si="11"/>
        <v>0</v>
      </c>
      <c r="Z28" s="3">
        <f>SUM(Datos_wide!B28:F28)</f>
        <v>150</v>
      </c>
      <c r="AA28" s="3">
        <f>SUMIF(Datos_long!$A$2:$A$269,$A28,Datos_long!$E$2:$E$269)</f>
        <v>150</v>
      </c>
      <c r="AB28" s="3">
        <f t="shared" si="12"/>
        <v>0</v>
      </c>
      <c r="AC28" s="13" t="b">
        <f t="shared" si="13"/>
        <v>1</v>
      </c>
      <c r="AD28" s="3">
        <f t="shared" si="14"/>
        <v>1</v>
      </c>
      <c r="AE28" t="str">
        <f t="shared" si="15"/>
        <v>Difiere del dato publicado</v>
      </c>
    </row>
    <row r="29" spans="1:31">
      <c r="A29">
        <v>2051</v>
      </c>
      <c r="B29" s="4">
        <v>0</v>
      </c>
      <c r="C29" s="9">
        <f>Datos_wide!B29</f>
        <v>0</v>
      </c>
      <c r="D29" s="3">
        <f t="shared" si="0"/>
        <v>0</v>
      </c>
      <c r="E29" s="3" t="b">
        <f t="shared" si="1"/>
        <v>1</v>
      </c>
      <c r="F29" s="4">
        <v>133</v>
      </c>
      <c r="G29" s="9">
        <f>Datos_wide!C29</f>
        <v>133</v>
      </c>
      <c r="H29" s="3">
        <f t="shared" si="2"/>
        <v>0</v>
      </c>
      <c r="I29" s="3" t="b">
        <f t="shared" si="3"/>
        <v>1</v>
      </c>
      <c r="J29" s="4">
        <v>8</v>
      </c>
      <c r="K29" s="9">
        <f>Datos_wide!D29</f>
        <v>8</v>
      </c>
      <c r="L29" s="3">
        <f t="shared" si="4"/>
        <v>0</v>
      </c>
      <c r="M29" s="3" t="b">
        <f t="shared" si="5"/>
        <v>1</v>
      </c>
      <c r="N29" s="4">
        <v>0</v>
      </c>
      <c r="O29" s="9">
        <f>Datos_wide!E29</f>
        <v>0</v>
      </c>
      <c r="P29" s="3">
        <f t="shared" si="6"/>
        <v>0</v>
      </c>
      <c r="Q29" s="3" t="b">
        <f t="shared" si="7"/>
        <v>1</v>
      </c>
      <c r="R29" s="4">
        <v>0</v>
      </c>
      <c r="S29" s="9">
        <f>Datos_wide!F29</f>
        <v>0</v>
      </c>
      <c r="T29" s="3">
        <f t="shared" si="8"/>
        <v>0</v>
      </c>
      <c r="U29" s="3" t="b">
        <f t="shared" si="9"/>
        <v>1</v>
      </c>
      <c r="V29" s="4">
        <v>141</v>
      </c>
      <c r="W29" s="9">
        <f>Datos_wide!N29</f>
        <v>141</v>
      </c>
      <c r="X29" s="3">
        <f t="shared" si="10"/>
        <v>0</v>
      </c>
      <c r="Y29" s="3" t="b">
        <f t="shared" si="11"/>
        <v>1</v>
      </c>
      <c r="Z29" s="3">
        <f>SUM(Datos_wide!B29:F29)</f>
        <v>141</v>
      </c>
      <c r="AA29" s="3">
        <f>SUMIF(Datos_long!$A$2:$A$269,$A29,Datos_long!$E$2:$E$269)</f>
        <v>141</v>
      </c>
      <c r="AB29" s="3">
        <f t="shared" si="12"/>
        <v>0</v>
      </c>
      <c r="AC29" s="13" t="b">
        <f t="shared" si="13"/>
        <v>1</v>
      </c>
      <c r="AD29" s="3">
        <f t="shared" si="14"/>
        <v>0</v>
      </c>
      <c r="AE29" t="str">
        <f t="shared" si="15"/>
        <v>Sin diferencias</v>
      </c>
    </row>
    <row r="30" spans="1:31">
      <c r="A30">
        <v>2052</v>
      </c>
      <c r="B30" s="4">
        <v>0</v>
      </c>
      <c r="C30" s="9">
        <f>Datos_wide!B30</f>
        <v>0</v>
      </c>
      <c r="D30" s="3">
        <f t="shared" si="0"/>
        <v>0</v>
      </c>
      <c r="E30" s="3" t="b">
        <f t="shared" si="1"/>
        <v>1</v>
      </c>
      <c r="F30" s="4">
        <v>133</v>
      </c>
      <c r="G30" s="9">
        <f>Datos_wide!C30</f>
        <v>133</v>
      </c>
      <c r="H30" s="3">
        <f t="shared" si="2"/>
        <v>0</v>
      </c>
      <c r="I30" s="3" t="b">
        <f t="shared" si="3"/>
        <v>1</v>
      </c>
      <c r="J30" s="4">
        <v>8</v>
      </c>
      <c r="K30" s="9">
        <f>Datos_wide!D30</f>
        <v>8</v>
      </c>
      <c r="L30" s="3">
        <f t="shared" si="4"/>
        <v>0</v>
      </c>
      <c r="M30" s="3" t="b">
        <f t="shared" si="5"/>
        <v>1</v>
      </c>
      <c r="N30" s="4">
        <v>0</v>
      </c>
      <c r="O30" s="9">
        <f>Datos_wide!E30</f>
        <v>0</v>
      </c>
      <c r="P30" s="3">
        <f t="shared" si="6"/>
        <v>0</v>
      </c>
      <c r="Q30" s="3" t="b">
        <f t="shared" si="7"/>
        <v>1</v>
      </c>
      <c r="R30" s="4">
        <v>0</v>
      </c>
      <c r="S30" s="9">
        <f>Datos_wide!F30</f>
        <v>0</v>
      </c>
      <c r="T30" s="3">
        <f t="shared" si="8"/>
        <v>0</v>
      </c>
      <c r="U30" s="3" t="b">
        <f t="shared" si="9"/>
        <v>1</v>
      </c>
      <c r="V30" s="4">
        <v>141</v>
      </c>
      <c r="W30" s="9">
        <f>Datos_wide!N30</f>
        <v>141</v>
      </c>
      <c r="X30" s="3">
        <f t="shared" si="10"/>
        <v>0</v>
      </c>
      <c r="Y30" s="3" t="b">
        <f t="shared" si="11"/>
        <v>1</v>
      </c>
      <c r="Z30" s="3">
        <f>SUM(Datos_wide!B30:F30)</f>
        <v>141</v>
      </c>
      <c r="AA30" s="3">
        <f>SUMIF(Datos_long!$A$2:$A$269,$A30,Datos_long!$E$2:$E$269)</f>
        <v>141</v>
      </c>
      <c r="AB30" s="3">
        <f t="shared" si="12"/>
        <v>0</v>
      </c>
      <c r="AC30" s="13" t="b">
        <f t="shared" si="13"/>
        <v>1</v>
      </c>
      <c r="AD30" s="3">
        <f t="shared" si="14"/>
        <v>0</v>
      </c>
      <c r="AE30" t="str">
        <f t="shared" si="15"/>
        <v>Sin diferencias</v>
      </c>
    </row>
    <row r="31" spans="1:31">
      <c r="A31">
        <v>2053</v>
      </c>
      <c r="B31" s="4">
        <v>0</v>
      </c>
      <c r="C31" s="9">
        <f>Datos_wide!B31</f>
        <v>0</v>
      </c>
      <c r="D31" s="3">
        <f t="shared" si="0"/>
        <v>0</v>
      </c>
      <c r="E31" s="3" t="b">
        <f t="shared" si="1"/>
        <v>1</v>
      </c>
      <c r="F31" s="4">
        <v>133</v>
      </c>
      <c r="G31" s="9">
        <f>Datos_wide!C31</f>
        <v>133</v>
      </c>
      <c r="H31" s="3">
        <f t="shared" si="2"/>
        <v>0</v>
      </c>
      <c r="I31" s="3" t="b">
        <f t="shared" si="3"/>
        <v>1</v>
      </c>
      <c r="J31" s="4">
        <v>8</v>
      </c>
      <c r="K31" s="9">
        <f>Datos_wide!D31</f>
        <v>59</v>
      </c>
      <c r="L31" s="3">
        <f t="shared" si="4"/>
        <v>51</v>
      </c>
      <c r="M31" s="3" t="b">
        <f t="shared" si="5"/>
        <v>0</v>
      </c>
      <c r="N31" s="4">
        <v>0</v>
      </c>
      <c r="O31" s="9">
        <f>Datos_wide!E31</f>
        <v>0</v>
      </c>
      <c r="P31" s="3">
        <f t="shared" si="6"/>
        <v>0</v>
      </c>
      <c r="Q31" s="3" t="b">
        <f t="shared" si="7"/>
        <v>1</v>
      </c>
      <c r="R31" s="4">
        <v>0</v>
      </c>
      <c r="S31" s="9">
        <f>Datos_wide!F31</f>
        <v>0</v>
      </c>
      <c r="T31" s="3">
        <f t="shared" si="8"/>
        <v>0</v>
      </c>
      <c r="U31" s="3" t="b">
        <f t="shared" si="9"/>
        <v>1</v>
      </c>
      <c r="V31" s="4">
        <v>141</v>
      </c>
      <c r="W31" s="9">
        <f>Datos_wide!N31</f>
        <v>192</v>
      </c>
      <c r="X31" s="3">
        <f t="shared" si="10"/>
        <v>51</v>
      </c>
      <c r="Y31" s="3" t="b">
        <f t="shared" si="11"/>
        <v>0</v>
      </c>
      <c r="Z31" s="3">
        <f>SUM(Datos_wide!B31:F31)</f>
        <v>192</v>
      </c>
      <c r="AA31" s="3">
        <f>SUMIF(Datos_long!$A$2:$A$269,$A31,Datos_long!$E$2:$E$269)</f>
        <v>192</v>
      </c>
      <c r="AB31" s="3">
        <f t="shared" si="12"/>
        <v>0</v>
      </c>
      <c r="AC31" s="13" t="b">
        <f t="shared" si="13"/>
        <v>1</v>
      </c>
      <c r="AD31" s="3">
        <f t="shared" si="14"/>
        <v>1</v>
      </c>
      <c r="AE31" t="str">
        <f t="shared" si="15"/>
        <v>Difiere del dato publicado</v>
      </c>
    </row>
    <row r="32" spans="1:31">
      <c r="A32">
        <v>2054</v>
      </c>
      <c r="B32" s="4">
        <v>0</v>
      </c>
      <c r="C32" s="9">
        <f>Datos_wide!B32</f>
        <v>0</v>
      </c>
      <c r="D32" s="3">
        <f t="shared" si="0"/>
        <v>0</v>
      </c>
      <c r="E32" s="3" t="b">
        <f t="shared" si="1"/>
        <v>1</v>
      </c>
      <c r="F32" s="4">
        <v>133</v>
      </c>
      <c r="G32" s="9">
        <f>Datos_wide!C32</f>
        <v>133</v>
      </c>
      <c r="H32" s="3">
        <f t="shared" si="2"/>
        <v>0</v>
      </c>
      <c r="I32" s="3" t="b">
        <f t="shared" si="3"/>
        <v>1</v>
      </c>
      <c r="J32" s="4">
        <v>8</v>
      </c>
      <c r="K32" s="9">
        <f>Datos_wide!D32</f>
        <v>59</v>
      </c>
      <c r="L32" s="3">
        <f t="shared" si="4"/>
        <v>51</v>
      </c>
      <c r="M32" s="3" t="b">
        <f t="shared" si="5"/>
        <v>0</v>
      </c>
      <c r="N32" s="4">
        <v>0</v>
      </c>
      <c r="O32" s="9">
        <f>Datos_wide!E32</f>
        <v>0</v>
      </c>
      <c r="P32" s="3">
        <f t="shared" si="6"/>
        <v>0</v>
      </c>
      <c r="Q32" s="3" t="b">
        <f t="shared" si="7"/>
        <v>1</v>
      </c>
      <c r="R32" s="4">
        <v>0</v>
      </c>
      <c r="S32" s="9">
        <f>Datos_wide!F32</f>
        <v>0</v>
      </c>
      <c r="T32" s="3">
        <f t="shared" si="8"/>
        <v>0</v>
      </c>
      <c r="U32" s="3" t="b">
        <f t="shared" si="9"/>
        <v>1</v>
      </c>
      <c r="V32" s="4">
        <v>141</v>
      </c>
      <c r="W32" s="9">
        <f>Datos_wide!N32</f>
        <v>192</v>
      </c>
      <c r="X32" s="3">
        <f t="shared" si="10"/>
        <v>51</v>
      </c>
      <c r="Y32" s="3" t="b">
        <f t="shared" si="11"/>
        <v>0</v>
      </c>
      <c r="Z32" s="3">
        <f>SUM(Datos_wide!B32:F32)</f>
        <v>192</v>
      </c>
      <c r="AA32" s="3">
        <f>SUMIF(Datos_long!$A$2:$A$269,$A32,Datos_long!$E$2:$E$269)</f>
        <v>192</v>
      </c>
      <c r="AB32" s="3">
        <f t="shared" si="12"/>
        <v>0</v>
      </c>
      <c r="AC32" s="13" t="b">
        <f t="shared" si="13"/>
        <v>1</v>
      </c>
      <c r="AD32" s="3">
        <f t="shared" si="14"/>
        <v>1</v>
      </c>
      <c r="AE32" t="str">
        <f t="shared" si="15"/>
        <v>Difiere del dato publicado</v>
      </c>
    </row>
    <row r="33" spans="1:31">
      <c r="A33">
        <v>2055</v>
      </c>
      <c r="B33" s="4">
        <v>0</v>
      </c>
      <c r="C33" s="9">
        <f>Datos_wide!B33</f>
        <v>0</v>
      </c>
      <c r="D33" s="3">
        <f t="shared" si="0"/>
        <v>0</v>
      </c>
      <c r="E33" s="3" t="b">
        <f t="shared" si="1"/>
        <v>1</v>
      </c>
      <c r="F33" s="4">
        <v>133</v>
      </c>
      <c r="G33" s="9">
        <f>Datos_wide!C33</f>
        <v>133</v>
      </c>
      <c r="H33" s="3">
        <f t="shared" si="2"/>
        <v>0</v>
      </c>
      <c r="I33" s="3" t="b">
        <f t="shared" si="3"/>
        <v>1</v>
      </c>
      <c r="J33" s="4">
        <v>7</v>
      </c>
      <c r="K33" s="9">
        <f>Datos_wide!D33</f>
        <v>58</v>
      </c>
      <c r="L33" s="3">
        <f t="shared" si="4"/>
        <v>51</v>
      </c>
      <c r="M33" s="3" t="b">
        <f t="shared" si="5"/>
        <v>0</v>
      </c>
      <c r="N33" s="4">
        <v>0</v>
      </c>
      <c r="O33" s="9">
        <f>Datos_wide!E33</f>
        <v>0</v>
      </c>
      <c r="P33" s="3">
        <f t="shared" si="6"/>
        <v>0</v>
      </c>
      <c r="Q33" s="3" t="b">
        <f t="shared" si="7"/>
        <v>1</v>
      </c>
      <c r="R33" s="4">
        <v>0</v>
      </c>
      <c r="S33" s="9">
        <f>Datos_wide!F33</f>
        <v>0</v>
      </c>
      <c r="T33" s="3">
        <f t="shared" si="8"/>
        <v>0</v>
      </c>
      <c r="U33" s="3" t="b">
        <f t="shared" si="9"/>
        <v>1</v>
      </c>
      <c r="V33" s="4">
        <v>140</v>
      </c>
      <c r="W33" s="9">
        <f>Datos_wide!N33</f>
        <v>191</v>
      </c>
      <c r="X33" s="3">
        <f t="shared" si="10"/>
        <v>51</v>
      </c>
      <c r="Y33" s="3" t="b">
        <f t="shared" si="11"/>
        <v>0</v>
      </c>
      <c r="Z33" s="3">
        <f>SUM(Datos_wide!B33:F33)</f>
        <v>191</v>
      </c>
      <c r="AA33" s="3">
        <f>SUMIF(Datos_long!$A$2:$A$269,$A33,Datos_long!$E$2:$E$269)</f>
        <v>191</v>
      </c>
      <c r="AB33" s="3">
        <f t="shared" si="12"/>
        <v>0</v>
      </c>
      <c r="AC33" s="13" t="b">
        <f t="shared" si="13"/>
        <v>1</v>
      </c>
      <c r="AD33" s="3">
        <f t="shared" si="14"/>
        <v>1</v>
      </c>
      <c r="AE33" t="str">
        <f t="shared" si="15"/>
        <v>Difiere del dato publicado</v>
      </c>
    </row>
    <row r="34" spans="1:31">
      <c r="A34">
        <v>2056</v>
      </c>
      <c r="B34" s="4">
        <v>0</v>
      </c>
      <c r="C34" s="9">
        <f>Datos_wide!B34</f>
        <v>0</v>
      </c>
      <c r="D34" s="3">
        <f t="shared" si="0"/>
        <v>0</v>
      </c>
      <c r="E34" s="3" t="b">
        <f t="shared" si="1"/>
        <v>1</v>
      </c>
      <c r="F34" s="4">
        <v>133</v>
      </c>
      <c r="G34" s="9">
        <f>Datos_wide!C34</f>
        <v>133</v>
      </c>
      <c r="H34" s="3">
        <f t="shared" si="2"/>
        <v>0</v>
      </c>
      <c r="I34" s="3" t="b">
        <f t="shared" si="3"/>
        <v>1</v>
      </c>
      <c r="J34" s="4">
        <v>44</v>
      </c>
      <c r="K34" s="9">
        <f>Datos_wide!D34</f>
        <v>95</v>
      </c>
      <c r="L34" s="3">
        <f t="shared" si="4"/>
        <v>51</v>
      </c>
      <c r="M34" s="3" t="b">
        <f t="shared" si="5"/>
        <v>0</v>
      </c>
      <c r="N34" s="4">
        <v>0</v>
      </c>
      <c r="O34" s="9">
        <f>Datos_wide!E34</f>
        <v>0</v>
      </c>
      <c r="P34" s="3">
        <f t="shared" si="6"/>
        <v>0</v>
      </c>
      <c r="Q34" s="3" t="b">
        <f t="shared" si="7"/>
        <v>1</v>
      </c>
      <c r="R34" s="4">
        <v>0</v>
      </c>
      <c r="S34" s="9">
        <f>Datos_wide!F34</f>
        <v>0</v>
      </c>
      <c r="T34" s="3">
        <f t="shared" si="8"/>
        <v>0</v>
      </c>
      <c r="U34" s="3" t="b">
        <f t="shared" si="9"/>
        <v>1</v>
      </c>
      <c r="V34" s="4">
        <v>177</v>
      </c>
      <c r="W34" s="9">
        <f>Datos_wide!N34</f>
        <v>228</v>
      </c>
      <c r="X34" s="3">
        <f t="shared" si="10"/>
        <v>51</v>
      </c>
      <c r="Y34" s="3" t="b">
        <f t="shared" si="11"/>
        <v>0</v>
      </c>
      <c r="Z34" s="3">
        <f>SUM(Datos_wide!B34:F34)</f>
        <v>228</v>
      </c>
      <c r="AA34" s="3">
        <f>SUMIF(Datos_long!$A$2:$A$269,$A34,Datos_long!$E$2:$E$269)</f>
        <v>228</v>
      </c>
      <c r="AB34" s="3">
        <f t="shared" si="12"/>
        <v>0</v>
      </c>
      <c r="AC34" s="13" t="b">
        <f t="shared" si="13"/>
        <v>1</v>
      </c>
      <c r="AD34" s="3">
        <f t="shared" si="14"/>
        <v>1</v>
      </c>
      <c r="AE34" t="str">
        <f t="shared" si="15"/>
        <v>Difiere del dato publicado</v>
      </c>
    </row>
  </sheetData>
  <conditionalFormatting sqref="D2:D34">
    <cfRule type="cellIs" dxfId="5" priority="1" operator="notEqual">
      <formula>0</formula>
    </cfRule>
  </conditionalFormatting>
  <conditionalFormatting sqref="H2:H34">
    <cfRule type="cellIs" dxfId="4" priority="2" operator="notEqual">
      <formula>0</formula>
    </cfRule>
  </conditionalFormatting>
  <conditionalFormatting sqref="L2:L34">
    <cfRule type="cellIs" dxfId="3" priority="3" operator="notEqual">
      <formula>0</formula>
    </cfRule>
  </conditionalFormatting>
  <conditionalFormatting sqref="P2:P34">
    <cfRule type="cellIs" dxfId="2" priority="4" operator="notEqual">
      <formula>0</formula>
    </cfRule>
  </conditionalFormatting>
  <conditionalFormatting sqref="T2:T34">
    <cfRule type="cellIs" dxfId="1" priority="5" operator="notEqual">
      <formula>0</formula>
    </cfRule>
  </conditionalFormatting>
  <conditionalFormatting sqref="X2:X34">
    <cfRule type="cellIs" dxfId="0" priority="6" operator="not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9" customWidth="1"/>
    <col min="2" max="2" width="91" customWidth="1"/>
  </cols>
  <sheetData>
    <row r="1" spans="1:2" ht="40" customHeight="1">
      <c r="A1" s="2" t="s">
        <v>72</v>
      </c>
      <c r="B1" s="2" t="s">
        <v>73</v>
      </c>
    </row>
    <row r="2" spans="1:2" ht="15">
      <c r="A2" t="s">
        <v>74</v>
      </c>
      <c r="B2" s="14" t="s">
        <v>15</v>
      </c>
    </row>
    <row r="3" spans="1:2" ht="15">
      <c r="A3" t="s">
        <v>75</v>
      </c>
      <c r="B3" s="14" t="s">
        <v>15</v>
      </c>
    </row>
    <row r="4" spans="1:2">
      <c r="A4" t="s">
        <v>76</v>
      </c>
      <c r="B4" s="14">
        <v>46322.797685185185</v>
      </c>
    </row>
    <row r="5" spans="1:2" ht="15">
      <c r="A5" t="s">
        <v>77</v>
      </c>
      <c r="B5" s="14" t="s">
        <v>78</v>
      </c>
    </row>
    <row r="6" spans="1:2" ht="15">
      <c r="A6" t="s">
        <v>79</v>
      </c>
      <c r="B6" s="14" t="s">
        <v>80</v>
      </c>
    </row>
    <row r="7" spans="1:2" ht="15">
      <c r="A7" t="s">
        <v>81</v>
      </c>
      <c r="B7" s="14" t="s">
        <v>82</v>
      </c>
    </row>
    <row r="8" spans="1:2" ht="15">
      <c r="A8" t="s">
        <v>83</v>
      </c>
      <c r="B8" s="14" t="s">
        <v>84</v>
      </c>
    </row>
    <row r="9" spans="1:2" ht="15">
      <c r="A9" t="s">
        <v>85</v>
      </c>
      <c r="B9" s="14" t="s">
        <v>86</v>
      </c>
    </row>
    <row r="10" spans="1:2" ht="15">
      <c r="A10" t="s">
        <v>87</v>
      </c>
      <c r="B10" s="14" t="s">
        <v>88</v>
      </c>
    </row>
    <row r="11" spans="1:2" ht="15">
      <c r="A11" t="s">
        <v>89</v>
      </c>
      <c r="B11" s="14" t="s">
        <v>90</v>
      </c>
    </row>
    <row r="12" spans="1:2" ht="15">
      <c r="A12" t="s">
        <v>91</v>
      </c>
      <c r="B12" s="14" t="s">
        <v>92</v>
      </c>
    </row>
    <row r="13" spans="1:2" ht="15">
      <c r="A13" t="s">
        <v>93</v>
      </c>
      <c r="B13" s="14" t="s">
        <v>94</v>
      </c>
    </row>
    <row r="14" spans="1:2" ht="15">
      <c r="A14" t="s">
        <v>95</v>
      </c>
      <c r="B14" s="14" t="s">
        <v>96</v>
      </c>
    </row>
    <row r="15" spans="1:2" ht="15">
      <c r="A15" t="s">
        <v>97</v>
      </c>
      <c r="B15" s="14" t="s">
        <v>98</v>
      </c>
    </row>
    <row r="16" spans="1:2" ht="15">
      <c r="A16" t="s">
        <v>99</v>
      </c>
      <c r="B16" s="14" t="s">
        <v>100</v>
      </c>
    </row>
    <row r="17" spans="1:2" ht="15">
      <c r="A17" t="s">
        <v>101</v>
      </c>
      <c r="B17" s="14" t="s">
        <v>102</v>
      </c>
    </row>
    <row r="18" spans="1:2" ht="15">
      <c r="A18" t="s">
        <v>103</v>
      </c>
      <c r="B18" s="14" t="s">
        <v>104</v>
      </c>
    </row>
    <row r="19" spans="1:2" ht="15">
      <c r="A19" t="s">
        <v>105</v>
      </c>
      <c r="B19" s="14" t="s">
        <v>106</v>
      </c>
    </row>
    <row r="20" spans="1:2" ht="30">
      <c r="A20" t="s">
        <v>107</v>
      </c>
      <c r="B20" s="14" t="s">
        <v>108</v>
      </c>
    </row>
    <row r="21" spans="1:2" ht="30">
      <c r="A21" t="s">
        <v>109</v>
      </c>
      <c r="B21" s="14" t="s">
        <v>110</v>
      </c>
    </row>
    <row r="22" spans="1:2" ht="15">
      <c r="A22" t="s">
        <v>111</v>
      </c>
      <c r="B22" s="14" t="s">
        <v>112</v>
      </c>
    </row>
    <row r="23" spans="1:2" ht="15">
      <c r="A23" t="s">
        <v>113</v>
      </c>
      <c r="B23" s="14" t="s">
        <v>114</v>
      </c>
    </row>
    <row r="24" spans="1:2" ht="15">
      <c r="A24" t="s">
        <v>115</v>
      </c>
      <c r="B24" s="14" t="s">
        <v>102</v>
      </c>
    </row>
    <row r="25" spans="1:2" ht="15">
      <c r="A25" t="s">
        <v>116</v>
      </c>
      <c r="B25" s="14" t="s">
        <v>117</v>
      </c>
    </row>
    <row r="26" spans="1:2" ht="15">
      <c r="A26" t="s">
        <v>118</v>
      </c>
      <c r="B26" s="14" t="s">
        <v>119</v>
      </c>
    </row>
    <row r="27" spans="1:2" ht="409.6">
      <c r="A27" t="s">
        <v>120</v>
      </c>
      <c r="B27" s="14" t="s">
        <v>121</v>
      </c>
    </row>
    <row r="28" spans="1:2" ht="15">
      <c r="A28" t="s">
        <v>122</v>
      </c>
      <c r="B28" s="14" t="s">
        <v>123</v>
      </c>
    </row>
    <row r="29" spans="1:2" ht="15">
      <c r="A29" t="s">
        <v>124</v>
      </c>
      <c r="B29" s="14" t="s">
        <v>125</v>
      </c>
    </row>
    <row r="30" spans="1:2" ht="15">
      <c r="A30" t="s">
        <v>126</v>
      </c>
      <c r="B30" s="14" t="s">
        <v>127</v>
      </c>
    </row>
    <row r="31" spans="1:2" ht="15">
      <c r="A31" t="s">
        <v>128</v>
      </c>
      <c r="B31" s="14" t="s">
        <v>129</v>
      </c>
    </row>
    <row r="32" spans="1:2" ht="15">
      <c r="A32" t="s">
        <v>130</v>
      </c>
      <c r="B32" s="14" t="s">
        <v>131</v>
      </c>
    </row>
    <row r="33" spans="1:2" ht="30">
      <c r="A33" t="s">
        <v>132</v>
      </c>
      <c r="B33" s="14" t="s">
        <v>133</v>
      </c>
    </row>
    <row r="34" spans="1:2" ht="45">
      <c r="A34" t="s">
        <v>134</v>
      </c>
      <c r="B34" s="14" t="s">
        <v>135</v>
      </c>
    </row>
    <row r="35" spans="1:2">
      <c r="B35" s="14"/>
    </row>
    <row r="36" spans="1:2" ht="12" customHeight="1">
      <c r="A36" s="15" t="s">
        <v>136</v>
      </c>
      <c r="B36" s="16" t="s">
        <v>137</v>
      </c>
    </row>
    <row r="37" spans="1:2" ht="30">
      <c r="A37" s="17" t="s">
        <v>138</v>
      </c>
      <c r="B37" s="14" t="s">
        <v>139</v>
      </c>
    </row>
    <row r="38" spans="1:2" ht="30">
      <c r="A38" s="17" t="s">
        <v>140</v>
      </c>
      <c r="B38" s="14" t="s">
        <v>141</v>
      </c>
    </row>
    <row r="39" spans="1:2" ht="30">
      <c r="A39" s="17" t="s">
        <v>142</v>
      </c>
      <c r="B39" s="14" t="s">
        <v>143</v>
      </c>
    </row>
    <row r="40" spans="1:2" ht="30">
      <c r="A40" s="17" t="s">
        <v>144</v>
      </c>
      <c r="B40" s="14" t="s">
        <v>145</v>
      </c>
    </row>
    <row r="41" spans="1:2" ht="30">
      <c r="A41" s="17" t="s">
        <v>146</v>
      </c>
      <c r="B41" s="14" t="s">
        <v>147</v>
      </c>
    </row>
    <row r="42" spans="1:2" ht="30">
      <c r="A42" s="17" t="s">
        <v>148</v>
      </c>
      <c r="B42" s="14" t="s">
        <v>149</v>
      </c>
    </row>
    <row r="43" spans="1:2" ht="30">
      <c r="A43" s="17" t="s">
        <v>150</v>
      </c>
      <c r="B43" s="1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Datos_long</vt:lpstr>
      <vt:lpstr>Datos_wide</vt:lpstr>
      <vt:lpstr>Validaciones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Ordoñez</cp:lastModifiedBy>
  <dcterms:modified xsi:type="dcterms:W3CDTF">2026-10-27T19:52:11Z</dcterms:modified>
</cp:coreProperties>
</file>