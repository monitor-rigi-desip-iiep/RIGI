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lucasordonez/Library/CloudStorage/GoogleDrive-lucassebaord29@gmail.com/Mi unidad/EXCEL RIGI/"/>
    </mc:Choice>
  </mc:AlternateContent>
  <xr:revisionPtr revIDLastSave="0" documentId="13_ncr:1_{3213AAFD-2D68-3145-859A-660F69FD6243}" xr6:coauthVersionLast="47" xr6:coauthVersionMax="47" xr10:uidLastSave="{00000000-0000-0000-0000-000000000000}"/>
  <bookViews>
    <workbookView xWindow="0" yWindow="600" windowWidth="68800" windowHeight="28200" xr2:uid="{00000000-000D-0000-FFFF-FFFF00000000}"/>
  </bookViews>
  <sheets>
    <sheet name="Proyectos" sheetId="7" r:id="rId1"/>
    <sheet name="Diccionario" sheetId="6" r:id="rId2"/>
    <sheet name="Variable_Anterior" sheetId="8"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5" i="7" l="1"/>
  <c r="R43" i="7"/>
  <c r="R17" i="7"/>
  <c r="R24" i="7"/>
  <c r="R34" i="7"/>
  <c r="Q30" i="7"/>
  <c r="P30" i="7"/>
  <c r="Q6" i="7"/>
  <c r="P6" i="7"/>
  <c r="R2" i="7"/>
  <c r="R3" i="7"/>
  <c r="R4" i="7"/>
  <c r="R5" i="7"/>
  <c r="R7" i="7"/>
  <c r="R8" i="7"/>
  <c r="R9" i="7"/>
  <c r="R10" i="7"/>
  <c r="R11" i="7"/>
  <c r="R12" i="7"/>
  <c r="R13" i="7"/>
  <c r="R14" i="7"/>
  <c r="R18" i="7"/>
  <c r="R26" i="7"/>
  <c r="R27" i="7"/>
  <c r="R29" i="7"/>
  <c r="R32" i="7"/>
  <c r="R36" i="7"/>
  <c r="R37" i="7"/>
  <c r="R38"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tc={1C1F2559-7EE3-DF4D-8661-353CB183F945}</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O24" authorId="2" shapeId="0" xr:uid="{1C1F2559-7EE3-DF4D-8661-353CB183F945}">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No se incluye en la resolución
</t>
      </text>
    </comment>
    <comment ref="R30" authorId="3"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<sst xmlns="http://schemas.openxmlformats.org/spreadsheetml/2006/main" count="917" uniqueCount="542">
  <si>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</si>
  <si>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</si>
  <si>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</si>
  <si>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</si>
  <si>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</si>
  <si>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</si>
  <si>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</si>
  <si>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</si>
  <si>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</si>
  <si>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</si>
  <si>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</si>
  <si>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</si>
  <si>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</si>
  <si>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</si>
  <si>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</si>
  <si>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</si>
  <si>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</si>
  <si>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</si>
  <si>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</si>
  <si>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</si>
  <si>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</si>
  <si>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</si>
  <si>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</si>
  <si>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</si>
  <si>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</si>
  <si>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</si>
  <si>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</si>
  <si>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</si>
  <si>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</si>
  <si>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</si>
  <si>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</si>
  <si>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</si>
  <si>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</si>
  <si>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</si>
  <si>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</si>
  <si>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</si>
  <si>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</si>
  <si>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</si>
  <si>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</si>
  <si>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</si>
  <si>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</si>
  <si>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</si>
  <si>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</si>
  <si>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</si>
  <si>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</si>
  <si>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</si>
  <si>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</si>
  <si>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</si>
  <si>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</si>
  <si>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</si>
  <si>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</si>
  <si>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</si>
  <si>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</si>
  <si>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</si>
  <si>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</si>
  <si>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</si>
  <si>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</si>
  <si>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</si>
  <si>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</si>
  <si>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</si>
  <si>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</si>
  <si>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</si>
  <si>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</si>
  <si>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</si>
  <si>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</si>
  <si>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</si>
  <si>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</si>
  <si>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</si>
  <si>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</si>
  <si>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</si>
  <si>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</si>
  <si>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</si>
  <si>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</si>
  <si>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</si>
  <si>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</si>
  <si>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</si>
  <si>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</si>
  <si>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</si>
  <si>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</si>
  <si>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</si>
  <si>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</si>
  <si>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</si>
  <si>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</si>
  <si>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</si>
  <si>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</si>
  <si>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</si>
  <si>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</si>
  <si>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</si>
  <si>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</si>
  <si>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</si>
  <si>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</si>
  <si>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</si>
  <si>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</si>
  <si>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</si>
  <si>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</si>
  <si>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</si>
  <si>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</si>
  <si>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Tecpetrol S.A. (Argentina); Gas y Petróleo del Neuquén S.A. (Argentina)</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</si>
  <si>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</si>
  <si>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</si>
  <si>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</si>
  <si>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</si>
  <si>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</si>
  <si>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</si>
  <si>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</si>
  <si>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</si>
  <si>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</si>
  <si>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</si>
  <si>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</si>
  <si>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</si>
  <si>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</si>
  <si>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</si>
  <si>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</si>
  <si>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</si>
  <si>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Minera Agua Rica LLC Sucursal Argentina</t>
  </si>
  <si>
    <t>Fértil Pampa S.A.U.</t>
  </si>
  <si>
    <t>Pan American Energy (PAE) (Argentina)</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</si>
  <si>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</si>
  <si>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</si>
  <si>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</si>
  <si>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</si>
  <si>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</si>
  <si>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</si>
  <si>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</si>
  <si>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</si>
  <si>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</si>
  <si>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</si>
  <si>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</si>
  <si>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</si>
  <si>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</si>
  <si>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</si>
  <si>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</si>
  <si>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</si>
  <si>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</si>
  <si>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</si>
  <si>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</si>
  <si>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</si>
  <si>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</si>
  <si>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</si>
  <si>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</si>
  <si>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</si>
  <si>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</si>
  <si>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</si>
  <si>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</si>
  <si>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</si>
  <si>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</si>
  <si>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</si>
  <si>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</si>
  <si>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</si>
  <si>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</si>
  <si>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</si>
  <si>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</si>
  <si>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</si>
  <si>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</si>
  <si>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</si>
  <si>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</si>
  <si>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</si>
  <si>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</si>
  <si>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</si>
  <si>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</si>
  <si>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</si>
  <si>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</si>
  <si>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</si>
  <si>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</si>
  <si>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</si>
  <si>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</si>
  <si>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</si>
  <si>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</si>
  <si>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</si>
  <si>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</si>
  <si>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</si>
  <si>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</si>
  <si>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</si>
  <si>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</si>
  <si>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</si>
  <si>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</si>
  <si>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</si>
  <si>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</si>
  <si>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</si>
  <si>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</si>
  <si>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</si>
  <si>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</si>
  <si>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</si>
  <si>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</si>
  <si>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</si>
  <si>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</si>
  <si>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</si>
  <si>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</si>
  <si>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</si>
  <si>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</si>
  <si>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</si>
  <si>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</si>
  <si>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</si>
  <si>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</si>
  <si>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</si>
  <si>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</si>
  <si>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</si>
  <si>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</si>
  <si>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</si>
  <si>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</si>
  <si>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</si>
  <si>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</si>
  <si>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</si>
  <si>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</si>
  <si>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</si>
  <si>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</si>
  <si>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</si>
  <si>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</si>
  <si>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</si>
  <si>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</si>
  <si>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</si>
  <si>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</si>
  <si>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</si>
  <si>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</si>
  <si>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</si>
  <si>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</si>
  <si>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</si>
  <si>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</si>
  <si>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</si>
  <si>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</si>
  <si>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</si>
  <si>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</si>
  <si>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</si>
  <si>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</si>
  <si>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</si>
  <si>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</si>
  <si>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</si>
  <si>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</si>
  <si>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</si>
  <si>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</si>
  <si>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</si>
  <si>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</si>
  <si>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</si>
  <si>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</si>
  <si>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</si>
  <si>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</si>
  <si>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</si>
  <si>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</si>
  <si>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</si>
  <si>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</si>
  <si>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</si>
  <si>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</si>
  <si>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</si>
  <si>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</si>
  <si>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</si>
  <si>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</si>
  <si>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</si>
  <si>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</si>
  <si>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</si>
  <si>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</si>
  <si>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</si>
  <si>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</si>
  <si>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</si>
  <si>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</si>
  <si>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</si>
  <si>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</si>
  <si>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</si>
  <si>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</si>
  <si>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</si>
  <si>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</si>
  <si>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</si>
  <si>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</si>
  <si>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</si>
  <si>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</si>
  <si>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</si>
  <si>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</si>
  <si>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</si>
  <si>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</si>
  <si>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</si>
  <si>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</si>
  <si>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</si>
  <si>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</si>
  <si>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</si>
  <si>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</si>
  <si>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</si>
  <si>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</si>
  <si>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</si>
  <si>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</si>
  <si>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</si>
  <si>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</si>
  <si>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</si>
  <si>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</si>
  <si>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</si>
  <si>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</si>
  <si>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</si>
  <si>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</si>
  <si>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</si>
  <si>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</si>
  <si>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</si>
  <si>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</si>
  <si>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</si>
  <si>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</si>
  <si>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</si>
  <si>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</si>
  <si>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</si>
  <si>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</si>
  <si>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Pluspetrol (Argentina); Gas y Petróleo del Neuquén S.A. (Argentina)</t>
  </si>
  <si>
    <t>Upstream</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</si>
  <si>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</si>
  <si>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</si>
  <si>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</si>
  <si>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</si>
  <si>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</si>
  <si>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</si>
  <si>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</si>
  <si>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</si>
  <si>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</si>
  <si>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</si>
  <si>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</si>
  <si>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</si>
  <si>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</si>
  <si>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</si>
  <si>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</si>
  <si>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</si>
  <si>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</si>
  <si>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</si>
  <si>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</si>
  <si>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</si>
  <si>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</si>
  <si>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</si>
  <si>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</si>
  <si>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</si>
  <si>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</si>
  <si>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</si>
  <si>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</si>
  <si>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</si>
  <si>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</si>
  <si>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</si>
  <si>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</si>
  <si>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YPF S.A. (Argentina); Petrobras (Brasil); Dow (Argentina)</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</si>
  <si>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</si>
  <si>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</si>
  <si>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</si>
  <si>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</si>
  <si>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</si>
  <si>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</si>
  <si>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</si>
  <si>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</si>
  <si>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</si>
  <si>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</si>
  <si>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</si>
  <si>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</si>
  <si>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</si>
  <si>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</si>
  <si>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</si>
  <si>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</si>
  <si>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</si>
  <si>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</si>
  <si>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</si>
  <si>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</si>
  <si>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</si>
  <si>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</si>
  <si>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</si>
  <si>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</si>
  <si>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</si>
  <si>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</si>
  <si>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</si>
  <si>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</si>
  <si>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</si>
  <si>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</si>
  <si>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</si>
  <si>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</si>
  <si>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</si>
  <si>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</si>
  <si>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</si>
  <si>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</si>
  <si>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</si>
  <si>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</si>
  <si>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</si>
  <si>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</si>
  <si>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</si>
  <si>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</si>
  <si>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</si>
  <si>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</si>
  <si>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</si>
  <si>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</si>
  <si>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</si>
  <si>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</si>
  <si>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</si>
  <si>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</si>
  <si>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</si>
  <si>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</si>
  <si>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</si>
  <si>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</si>
  <si>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</si>
  <si>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</si>
  <si>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</si>
  <si>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</si>
  <si>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</si>
  <si>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</si>
  <si>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</si>
  <si>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</si>
  <si>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</si>
  <si>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</si>
  <si>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</si>
  <si>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</si>
  <si>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</si>
  <si>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</si>
  <si>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</si>
  <si>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</si>
  <si>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</si>
  <si>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</si>
  <si>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</si>
  <si>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</si>
  <si>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</si>
  <si>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</si>
  <si>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</si>
  <si>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</si>
  <si>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</si>
  <si>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</si>
  <si>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</si>
  <si>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</si>
  <si>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</si>
  <si>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</si>
  <si>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</si>
  <si>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</si>
  <si>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</si>
  <si>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</si>
  <si>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</si>
  <si>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</si>
  <si>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</si>
  <si>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</si>
  <si>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</si>
  <si>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</si>
  <si>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</si>
  <si>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</si>
  <si>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</si>
  <si>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</si>
  <si>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</si>
  <si>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</si>
  <si>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</si>
  <si>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</si>
  <si>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</si>
  <si>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</si>
  <si>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</si>
  <si>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</si>
  <si>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</si>
  <si>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</si>
  <si>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</si>
  <si>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</si>
  <si>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</si>
  <si>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</si>
  <si>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</si>
  <si>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</si>
  <si>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</si>
  <si>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</si>
  <si>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</si>
  <si>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</si>
  <si>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</si>
  <si>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</si>
  <si>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</si>
  <si>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</si>
  <si>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</si>
  <si>
    <t>Ampliación Mega</t>
  </si>
  <si>
    <t>Compañía Mega SA Sucursal Dedicada</t>
  </si>
  <si>
    <t>30-71932893-4</t>
  </si>
  <si>
    <t>https://www.boletinoficial.gob.ar/detalleAviso/primera/346397/20260826</t>
  </si>
  <si>
    <t>Construcción de plantas de tratamiento, plantas de separación de líquidos de gas natural, oleoductos, gasoductos y poliductos e instalaciones de almacenamiento</t>
  </si>
  <si>
    <t>Ampliación de un complejo industrial para incrementar la capacidad de producción de Líquidos del Gas Natural (LGN) en 1500 toneladas diarias.  El proyecto contempla nuevas instalaciones en la Planta de Separación de Loma La Lata, la ampliación de la capacidad de transporte del poliducto que atraviesa Neuquén, Río Negro, La Pampa y Buenos Aires, y la expansión de la Planta de Fraccionamiento ubicada en Bahía Blanca.</t>
  </si>
  <si>
    <t>Neuquén; La Pampa; Río Negro; Buenos Aires</t>
  </si>
  <si>
    <t>Res. 1381/2026</t>
  </si>
  <si>
    <t>La resolución define expresamente al proyecto como una ampliación de un proyecto preexistente no adherido al RIGI: el Complejo Industrial MEGA, cuya capacidad actual de producción de LGN será incrementada mediante nuevas instalaciones e infraestructura.</t>
  </si>
  <si>
    <t>Res. 1381/2026; Globaris; MECON</t>
  </si>
  <si>
    <t>San Matías Pipeline S.A.</t>
  </si>
  <si>
    <t>30-71875855-2</t>
  </si>
  <si>
    <t>Fertilizantes</t>
  </si>
  <si>
    <t>Petroquímica y Fertilizantes</t>
  </si>
  <si>
    <t>Res. 1468/2026</t>
  </si>
  <si>
    <t>Puerto de Ingeniero White, Bahía Blanca</t>
  </si>
  <si>
    <t>Construcción, operación y gerenciamiento de dos (2) plantas de producción de urea, cada una con capacidad de tres mil toneladas (3.000 t) por día, con sus correspondientes unidades de granulación, y una planta de amoníaco con capacidad de tres mil cuatrocientas cincuenta toneladas (3.450 t) por día, utilizando como insumo principal el gas natural de Vaca Muerta, a desarrollarse en el Puerto de Ingeniero White, partido de Bahía Blanca, provincia de Buenos Aires.</t>
  </si>
  <si>
    <t>https://www.boletinoficial.gob.ar/detalleAviso/primera/346966/20260907</t>
  </si>
  <si>
    <t>Res.1468/2026; MECON</t>
  </si>
  <si>
    <t>Se identifican signos fuertes de preexistencia. El proyecto “Fertilizantes” de Fértil Pampa SAU fue aprobado bajo RIGI por la Resolución 1468/2026, publicada el 07/09/2026, pero existía públicamente antes de esa fecha. La sociedad Fértil Pampa SAU fue constituida en octubre de 2024 con objeto específico de construir y operar una planta de amoníaco, urea y otros fertilizantes. Antes de la aprobación RIGI ya existían divulgaciones financieras y ambientales ante BID Invest e IFC, solicitud RIGI presentada el 21/04/2026, memorándum de entendimiento con el Municipio de Bahía Blanca, decisión final de inversión de Pampa Energía del 17/07/2026, contrato EPC con Tecnimont–SACDE y trámites de participación pública ambiental. Por lo tanto, se clasifica como proyecto preexistente al anuncio/aprobación oficial, aunque corresponde a una inversión greenfield y no a una ampliación de una planta ya operativa.</t>
  </si>
  <si>
    <t>Toyota Argentina S.A. (Argentina)</t>
  </si>
  <si>
    <t>Tecnología</t>
  </si>
  <si>
    <t>Zárate</t>
  </si>
  <si>
    <t>Desarrollo de recuperación terciaria de petróleo convencional en Cerro Dragón: 22 plantas de inyección de polímeros, perforación de 100 pozos productores e inyectores, adecuación de pozos, intervención de otros 600 pozos productores e infraestructura complementaria de superficie. Producción incremental estimada: 46 millones de barriles de petróleo y 30 BCF de gas natural.</t>
  </si>
  <si>
    <t>Chubut</t>
  </si>
  <si>
    <t>Área Cerro Dragón, Cuenca del Golfo San Jorge</t>
  </si>
  <si>
    <t>Gobierno del Chubut (01/10/2026); La Nación / PAE (01/10/2026); Reuters / Luis Caputo (01/10/2026)</t>
  </si>
  <si>
    <t>https://noticias.chubut.gob.ar/notas/gobierno/5481/torres-encabezo-en-la-sede-de-la-ocde-el-anuncio-de-una-inversion-de-usd-1200-millones-de-pae-para-cerro-dragon.html; https://www.lanacion.com.ar/economia/pan-american-energy-busca-ingresar-al-rigi-con-una-inversion-de-us1200-millones-para-revitalizar-nid01102026/; https://www.reuters.com/business/energy/pae-invest-12-billion-argentina-oil-field-minister-says-2026-10-01/</t>
  </si>
  <si>
    <t>Toyota</t>
  </si>
  <si>
    <t>PAE Cerro Dragón</t>
  </si>
  <si>
    <t>Pampa Exploración S.A.</t>
  </si>
  <si>
    <t>Desarrollo del depósito Lunahuasi de cobre, oro y plata, actualmente en exploración, con perforaciones y una galería de exploración planificada para avanzar hacia su desarrollo minero</t>
  </si>
  <si>
    <t>NGEx Minerals Ltd. (Canadá)</t>
  </si>
  <si>
    <t>Departamento Iglesia; Distrito Vicuña</t>
  </si>
  <si>
    <t>https://ngexminerals.com/news/ngex-releases-2025-sustainability-summary-122811/; https://www.panorama-minero.com/es/mining-compendium/argentina/project/lunahuasi</t>
  </si>
  <si>
    <t>NGEx Minerals, 14/05/2026; Panorama Minero, consulta 02/10/2026</t>
  </si>
  <si>
    <t>UT RIGI LOS TOLDOS</t>
  </si>
  <si>
    <t>Tecpetrol S.A. Gas y Petróleo del Neuquén S.A. UT RIGI Los Toldos U.T.E.</t>
  </si>
  <si>
    <t>33-71889684-9</t>
  </si>
  <si>
    <t>Explotación y producción de nuevos desarrollos de hidrocarburos líquidos y gaseosos costa adentro</t>
  </si>
  <si>
    <t>Departamento Pehuenches; área Los Toldos II Este; Engolfamiento/Bajo de Añelo</t>
  </si>
  <si>
    <t>La resolución establece que la primera etapa comenzó el 01/11/2024, antes de la presentación y aprobación RIGI.</t>
  </si>
  <si>
    <t>https://www.boletinoficial.gob.ar/detalleAviso/primera/348768/20261009</t>
  </si>
  <si>
    <t>https://www.argentina.gob.ar/normativa/nacional/norma-431089 ; https://www.tecpetrol.com/es/noticias/2026/rigi-los-toldos-ii-este</t>
  </si>
  <si>
    <t>Desarrollo de hidrocarburos en el área Los Toldos II Este, Vaca Muerta, el cual consiste en la perforación de 380 pozos junto con su infraestructura asociada para el tratamiento de la producción por una capacidad máxima de 70 mil barriles de petróleo diarios. El proyecto prevé un total de 360 millones de barriles de petróleo de exportación durante su operación.</t>
  </si>
  <si>
    <t>Res. 1771/2026</t>
  </si>
  <si>
    <t>Res. 1771/2026; Tecpetrol</t>
  </si>
  <si>
    <t>Exploración, producción, tratamiento y transporte de hidrocarburos en un área aproximada de 400 km² del centro-norte de Neuquén. El alcance comprende 620 pozos horizontales, cuatro plantas de tratamiento temprano (EPF), un oleoducto de 45 km y un gasoducto de 20 km, con capacidad total de 100.000 barriles diarios de petróleo y 12 millones de Sm³ diarios de gas. La primera etapa prevé 206 pozos y las EPF 1 y 2; la segunda, 414 pozos y las EPF 3 y 4.</t>
  </si>
  <si>
    <t>Gas y Petróleo del Neuquén S.A. - Pluspetrol Cuenca Neuquina S.R.L. – Unión Transitoria Exploración y Producción Bajo del Choique – La Invernada</t>
  </si>
  <si>
    <t>30-71920381-3</t>
  </si>
  <si>
    <t>Explotación y producción de nuevos desarrollos de hidrocarburos líquidos y gaseosos costa adentro, con instalaciones complementarias de tratamiento y transporte</t>
  </si>
  <si>
    <t>Centro-norte de Neuquén, aproximadamente 40 km al sur de Rincón de los Sauces; Hub Norte de la Cuenca Neuquina</t>
  </si>
  <si>
    <t>La primera etapa comenzó el 22/05/2025, once meses antes de la presentación al RIGI del 23/04/2026; por ello existe preexistencia según la cronología consignada en la resolución.</t>
  </si>
  <si>
    <t>https://www.boletinoficial.gob.ar/detalleAviso/primera/349233/20261019</t>
  </si>
  <si>
    <t>https://www.argentina.gob.ar/normativa/nacional/norma-431356; https://www.neuqueninforma.gob.ar/noticias/2026/10/19/265814-vaca-muerta-acelera-su-expansion-aprobaron-el-ingreso-al-rigi-de-un-proyecto-de-12-mil-millones-de-dolares; https://www.casarosada.gob.ar/informacion/conferencias/51404-conferencia-de-prensa-del-vocero-presidencial-adrian-ravier-desde-casa-rosada-19-10-2026</t>
  </si>
  <si>
    <t>Res. 1808/2026</t>
  </si>
  <si>
    <t>Res. 1808/2026; Gobierno de la Provincia del Neuquén; Casa Rosada</t>
  </si>
  <si>
    <t>Consiste en la construcción y desarrollo de un oleoducto, incrementar la capacidad de transporte y almacenamiento de petróleo crudo viabilizando la exportación de hidrocarburos provenientes de la formación “Vaca Muerta”</t>
  </si>
  <si>
    <t>Ampliación de la planta industrial de Toyota en Zárate mediante la construcción, instalación, puesta en funcionamiento y operación de una tercera planta para fabricar un vehículo híbrido eléctrico no enchufable (full HEV), inicialmente tipo pick-up y con posibilidad de versión SUV.</t>
  </si>
  <si>
    <t>Toyota Argentina S.A. Sucursal Dedicada</t>
  </si>
  <si>
    <t>30-71944240-0</t>
  </si>
  <si>
    <t>Automotriz</t>
  </si>
  <si>
    <t>Fabricación, ensamblado y montaje de vehículos de nueva tecnología de motorización</t>
  </si>
  <si>
    <t>Res. 1848/2026</t>
  </si>
  <si>
    <t>La Resolución 1848/2026 aprueba la ampliación de un proyecto preexistente no adherido: una tercera planta dentro del complejo industrial existente de Toyota en Zárate. Los beneficios se aplican exclusivamente a la ampliación.</t>
  </si>
  <si>
    <t>Procesamiento de NGLs en Tratayén</t>
  </si>
  <si>
    <t>Construcción de un gasoducto de segregación de corrientes de aproximadamente 100 km y nuevas instalaciones de procesamiento en Tratayén, con capacidad para 43 millones de m³ diarios, para separar líquidos del gas natural. Integra un paquete de dos proyectos de TGS con inversión conjunta superior a USD 3.200 millones; el monto actualizado por VPU no fue publicado.</t>
  </si>
  <si>
    <t>Transportadora de Gas del Sur S.A. (TGS) (Argentina)</t>
  </si>
  <si>
    <t>Procesadora de Gas del Sur S.A. (PGS)</t>
  </si>
  <si>
    <t>Tratayén, Neuquén</t>
  </si>
  <si>
    <t>Luis Caputo / Ministerio de Economía (X, 19/10/2026); Shale24 (19/10/2026); TGS, estados financieros 2T 2026 (04/08/2026)</t>
  </si>
  <si>
    <t>https://x.com/LuisCaputoAR/status/2112170371310858454; https://www.shale24.com/oil-gas/tgs-entra-rigi-us-3200-millones-bahia-blanca-ya-suma-dos-obras-liquidos-vaca-muerta-regimen-n1864; https://api.mziq.com/mzfilemanager/v2/d/78ce1f91-b610-429f-b020-add32c211c1f/dcfe21a3-8a28-44d7-5aeb-2e1a49a861e2?origin=2</t>
  </si>
  <si>
    <t>Poliducto Tratayén–Bahía Blanca y complejo NGL Puerto Galván</t>
  </si>
  <si>
    <t>Construcción de un poliducto de 577 km desde Tratayén hasta Bahía Blanca, una planta de fraccionamiento, instalaciones de almacenamiento y obras en la terminal marítima de Puerto Galván para exportar aproximadamente 2,7 millones de toneladas anuales de propano, butano y gasolina natural. Integra un paquete de dos proyectos de TGS con inversión conjunta superior a USD 3.200 millones; el monto actualizado por VPU no fue publicado.</t>
  </si>
  <si>
    <t>Midstream de Gas del Sur S.A. (MGS)</t>
  </si>
  <si>
    <t>Tratayén–Bahía Blanca / Puerto Galván</t>
  </si>
  <si>
    <t>https://www.boletinoficial.gob.ar/detalleAviso/primera/349428/20261022</t>
  </si>
  <si>
    <t>Res. 1848/2026 (B.O. 22/10/2026); Luis Caputo / Ministerio de Economía (X, 30/09/2026); Reuters (30/09/2026); La Nación / Toyota Argentina (30/09/2026)</t>
  </si>
  <si>
    <t>https://www.boletinoficial.gob.ar/detalleAviso/primera/349428/20261022; https://x.com/LuisCaputoAR/status/2105382049758523681; https://www.reuters.com/world/asia-pacific/toyota-invest-134-billion-argentina-production-plant-2026-09-30/; https://www.lanacion.com.ar/autos/toyota-invertira-us1341-millones-para-fabricar-un-nuevo-vehiculo-en-la-argentina-nid30092026/</t>
  </si>
  <si>
    <t>RIGI - RINCON MINING PTY LIMITED</t>
  </si>
  <si>
    <t>30-71899954-1</t>
  </si>
  <si>
    <t>Res. 1854/2026</t>
  </si>
  <si>
    <t>https://www.boletinoficial.gob.ar/detalleAviso/primera/349616/20261027</t>
  </si>
  <si>
    <t>https://www.glencore.com/media-and-insights/news/glencore-submits-RIGI-applications-in-respect-of-its-argentine-copper-projects; https://x.com/LuisCaputoAR/status/1957458679835594969; https://www.reuters.com/latam/negocio/7X5ZW2SXG5IYNBUILMTT6GMS6U-2025-08-21/; https://www.boletinoficial.gob.ar/detalleAviso/primera/349616/20261027; https://www.cda.org.ar/detalle_normativa.php?id=9497; https://tn.com.ar/economia/2026/10/27/el-gobierno-aprobo-el-ingreso-al-rigi-de-un-proyecto-minero-de-us6393-millones-en-catamarca/?outputType=amp</t>
  </si>
  <si>
    <t>30-70769036-0</t>
  </si>
  <si>
    <t>Minera Agua Rica</t>
  </si>
  <si>
    <t>Globaris; Glencore; Luis Caputo; Reuters; Res. 1854/2026; Boletín Oficial; TN</t>
  </si>
  <si>
    <t>El proyecto Agua Rica cuenta con estudios de factibilidad desde al menos 1997, actualizados en 2006. En marzo de 2019, Yamana, Glencore y Goldcorp acordaron y anunciaron públicamente su desarrollo mediante la integración con la infraestructura de Alumbrera, formalizada en diciembre de 2020 como proyecto MARA. En 2023, Glencore adquirió la participación restante y alcanzó el control total del proyecto, antes de solicitar su adhesión al RIGI el 18/08/2025. Por lo tanto, se clasifica como proyecto preexistente, aunque no se encontró evidencia concluyente de una decisión final e irreversible de ejecutar la inversión aprobada antes del RIGI.</t>
  </si>
  <si>
    <t>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Hilli Episeyo en Argentina.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</si>
</sst>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
    <numFmt numFmtId="166" formatCode="#,##0.0"/>
    <numFmt numFmtId="167" formatCode="#,##0.000000"/>
    <numFmt numFmtId="168" formatCode="0.######"/>
  </numFmts>
  <fonts count="16">
    <font>
      <sz val="11"/>
      <color theme="1"/>
      <name val="Calibri"/>
    </font>
    <font>
      <sz val="12"/>
      <color theme="1"/>
      <name val="Calibri"/>
      <family val="2"/>
      <scheme val="minor"/>
    </font>
    <font>
      <sz val="11"/>
      <color theme="1"/>
      <name val="Calibri"/>
      <family val="2"/>
    </font>
    <font>
      <u/>
      <sz val="11"/>
      <color theme="10"/>
      <name val="Calibri"/>
      <family val="2"/>
    </font>
    <font>
      <sz val="8"/>
      <name val="Calibri"/>
      <family val="2"/>
    </font>
    <font>
      <sz val="10"/>
      <color rgb="FF000000"/>
      <name val="Tahoma"/>
      <family val="2"/>
    </font>
    <font>
      <b/>
      <sz val="10"/>
      <color rgb="FF000000"/>
      <name val="Tahoma"/>
      <family val="2"/>
    </font>
    <font>
      <b/>
      <sz val="11"/>
      <color rgb="FFFFFFFF"/>
      <name val="Carlito"/>
    </font>
    <font>
      <sz val="11"/>
      <color rgb="FF000000"/>
      <name val="Carlito"/>
    </font>
    <font>
      <sz val="12"/>
      <color theme="1"/>
      <name val="Calibri"/>
      <family val="2"/>
      <scheme val="major"/>
    </font>
    <font>
      <sz val="12"/>
      <color rgb="FF1F2937"/>
      <name val="Calibri"/>
      <family val="2"/>
      <scheme val="minor"/>
    </font>
    <font>
      <u/>
      <sz val="12"/>
      <color theme="10"/>
      <name val="Calibri"/>
      <family val="2"/>
      <scheme val="minor"/>
    </font>
    <font>
      <u/>
      <sz val="12"/>
      <color theme="1"/>
      <name val="Calibri"/>
      <family val="2"/>
      <scheme val="minor"/>
    </font>
    <font>
      <sz val="12"/>
      <name val="Calibri"/>
      <family val="2"/>
      <scheme val="minor"/>
    </font>
    <font>
      <sz val="12"/>
      <color rgb="FF172033"/>
      <name val="Calibri"/>
      <family val="2"/>
      <scheme val="minor"/>
    </font>
    <font>
      <sz val="12"/>
      <color rgb="FF212529"/>
      <name val="Calibri"/>
      <family val="2"/>
      <scheme val="minor"/>
    </font>
  </fonts>
  <fills count="8">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
      <patternFill patternType="solid">
        <fgColor rgb="FFF7FAFC"/>
      </patternFill>
    </fill>
    <fill>
      <patternFill patternType="solid">
        <fgColor rgb="FFF6F8FB"/>
      </patternFill>
    </fill>
  </fills>
  <borders count="10">
    <border>
      <left/>
      <right/>
      <top/>
      <bottom/>
      <diagonal/>
    </border>
    <border>
      <left style="thin">
        <color rgb="FFB2B2B2"/>
      </left>
      <right style="thin">
        <color rgb="FFB2B2B2"/>
      </right>
      <top style="thin">
        <color rgb="FFB2B2B2"/>
      </top>
      <bottom style="thin">
        <color rgb="FFB2B2B2"/>
      </bottom>
      <diagonal/>
    </border>
    <border>
      <left/>
      <right/>
      <top/>
      <bottom style="thin">
        <color rgb="FFD1D5DB"/>
      </bottom>
      <diagonal/>
    </border>
    <border>
      <left style="thin">
        <color rgb="FFD7E0EA"/>
      </left>
      <right style="thin">
        <color rgb="FFD7E0EA"/>
      </right>
      <top style="thin">
        <color rgb="FFD7E0EA"/>
      </top>
      <bottom style="thin">
        <color rgb="FFD7E0EA"/>
      </bottom>
      <diagonal/>
    </border>
    <border>
      <left style="thin">
        <color rgb="FFE8ECF2"/>
      </left>
      <right style="thin">
        <color rgb="FFE8ECF2"/>
      </right>
      <top style="thin">
        <color rgb="FFE8ECF2"/>
      </top>
      <bottom style="thin">
        <color rgb="FFE8ECF2"/>
      </bottom>
      <diagonal/>
    </border>
    <border>
      <left style="thin">
        <color rgb="FFD8DEE9"/>
      </left>
      <right style="thin">
        <color rgb="FFE8ECF2"/>
      </right>
      <top style="thin">
        <color rgb="FFE8ECF2"/>
      </top>
      <bottom style="thin">
        <color rgb="FFE8ECF2"/>
      </bottom>
      <diagonal/>
    </border>
    <border>
      <left style="thin">
        <color rgb="FFE8ECF2"/>
      </left>
      <right style="thin">
        <color rgb="FFD8DEE9"/>
      </right>
      <top style="thin">
        <color rgb="FFE8ECF2"/>
      </top>
      <bottom style="thin">
        <color rgb="FFE8ECF2"/>
      </bottom>
      <diagonal/>
    </border>
    <border>
      <left style="thin">
        <color rgb="FFD8DEE9"/>
      </left>
      <right style="thin">
        <color rgb="FFE8ECF2"/>
      </right>
      <top style="thin">
        <color rgb="FFE8ECF2"/>
      </top>
      <bottom style="thin">
        <color rgb="FFD8DEE9"/>
      </bottom>
      <diagonal/>
    </border>
    <border>
      <left style="thin">
        <color rgb="FFE8ECF2"/>
      </left>
      <right style="thin">
        <color rgb="FFE8ECF2"/>
      </right>
      <top style="thin">
        <color rgb="FFE8ECF2"/>
      </top>
      <bottom style="thin">
        <color rgb="FFD8DEE9"/>
      </bottom>
      <diagonal/>
    </border>
    <border>
      <left style="thin">
        <color rgb="FFE8ECF2"/>
      </left>
      <right style="thin">
        <color rgb="FFD8DEE9"/>
      </right>
      <top style="thin">
        <color rgb="FFE8ECF2"/>
      </top>
      <bottom style="thin">
        <color rgb="FFD8DEE9"/>
      </bottom>
      <diagonal/>
    </border>
  </borders>
  <cellStyleXfs count="4">
    <xf numFmtId="0" fontId="0" fillId="0" borderId="0"/>
    <xf numFmtId="0" fontId="2" fillId="2" borderId="1" applyNumberFormat="0" applyFont="0" applyAlignment="0" applyProtection="0"/>
    <xf numFmtId="0" fontId="3" fillId="0" borderId="0" applyNumberFormat="0" applyFill="0" applyBorder="0" applyAlignment="0" applyProtection="0"/>
    <xf numFmtId="0" fontId="2" fillId="0" borderId="0"/>
  </cellStyleXfs>
  <cellXfs count="61">
    <xf numFmtId="0" fontId="0" fillId="0" borderId="0" xfId="0"/>
    <xf numFmtId="0" fontId="0" fillId="0" borderId="0" xfId="0" applyAlignment="1">
      <alignment vertical="top" wrapText="1"/>
    </xf>
    <xf numFmtId="0" fontId="7" fillId="4" borderId="0" xfId="0" applyFont="1" applyFill="1" applyAlignment="1">
      <alignment horizontal="center" vertical="center" wrapText="1"/>
    </xf>
    <xf numFmtId="0" fontId="2" fillId="0" borderId="0" xfId="0" applyFont="1" applyAlignment="1">
      <alignment vertical="top" wrapText="1"/>
    </xf>
    <xf numFmtId="0" fontId="7" fillId="5" borderId="0" xfId="0" applyFont="1" applyFill="1" applyAlignment="1">
      <alignment horizontal="center" vertical="center" wrapText="1"/>
    </xf>
    <xf numFmtId="0" fontId="8" fillId="0" borderId="0" xfId="0" applyFont="1" applyAlignment="1">
      <alignment vertical="top" wrapText="1"/>
    </xf>
    <xf numFmtId="0" fontId="9" fillId="0" borderId="0" xfId="0" applyFont="1" applyAlignment="1">
      <alignment horizontal="center" vertical="center" wrapText="1"/>
    </xf>
    <xf numFmtId="14" fontId="9" fillId="0" borderId="0" xfId="0" applyNumberFormat="1" applyFont="1" applyAlignment="1">
      <alignment horizontal="center" vertical="center" wrapText="1"/>
    </xf>
    <xf numFmtId="0" fontId="1" fillId="3" borderId="0" xfId="0" applyFont="1" applyFill="1" applyAlignment="1">
      <alignment horizontal="center" vertical="center" wrapText="1"/>
    </xf>
    <xf numFmtId="1" fontId="1" fillId="3" borderId="0" xfId="0" applyNumberFormat="1" applyFont="1" applyFill="1" applyAlignment="1">
      <alignment horizontal="center" vertical="center" wrapText="1"/>
    </xf>
    <xf numFmtId="3" fontId="1" fillId="3" borderId="0" xfId="0" applyNumberFormat="1" applyFont="1" applyFill="1" applyAlignment="1">
      <alignment horizontal="center" vertical="center" wrapText="1"/>
    </xf>
    <xf numFmtId="165" fontId="1" fillId="0" borderId="0" xfId="0" applyNumberFormat="1" applyFont="1" applyAlignment="1">
      <alignment horizontal="center" vertical="center" wrapText="1"/>
    </xf>
    <xf numFmtId="165" fontId="1" fillId="3" borderId="0" xfId="0" applyNumberFormat="1" applyFont="1" applyFill="1" applyAlignment="1">
      <alignment horizontal="center" vertical="center" wrapText="1"/>
    </xf>
    <xf numFmtId="14" fontId="1" fillId="0" borderId="0" xfId="0" applyNumberFormat="1" applyFont="1" applyAlignment="1">
      <alignment horizontal="center" vertical="center" wrapText="1"/>
    </xf>
    <xf numFmtId="14" fontId="1" fillId="3" borderId="0" xfId="0" applyNumberFormat="1" applyFont="1" applyFill="1" applyAlignment="1">
      <alignment horizontal="center" vertical="center" wrapText="1"/>
    </xf>
    <xf numFmtId="0" fontId="1" fillId="3" borderId="0" xfId="2" applyFont="1" applyFill="1" applyAlignment="1">
      <alignment horizontal="center" vertical="center" wrapText="1"/>
    </xf>
    <xf numFmtId="0" fontId="1" fillId="0" borderId="0" xfId="0" applyFont="1" applyAlignment="1">
      <alignment horizontal="center" vertical="center" wrapText="1"/>
    </xf>
    <xf numFmtId="1" fontId="1" fillId="0" borderId="0" xfId="0" applyNumberFormat="1" applyFont="1" applyAlignment="1">
      <alignment horizontal="center" vertical="center" wrapText="1"/>
    </xf>
    <xf numFmtId="3" fontId="1" fillId="0" borderId="0" xfId="0" applyNumberFormat="1" applyFont="1" applyAlignment="1">
      <alignment horizontal="center" vertical="center" wrapText="1"/>
    </xf>
    <xf numFmtId="0" fontId="1" fillId="0" borderId="0" xfId="2" applyFont="1" applyAlignment="1">
      <alignment horizontal="center" vertical="center" wrapText="1"/>
    </xf>
    <xf numFmtId="3" fontId="1" fillId="3" borderId="0" xfId="2" applyNumberFormat="1" applyFont="1" applyFill="1" applyAlignment="1">
      <alignment horizontal="center" vertical="center" wrapText="1"/>
    </xf>
    <xf numFmtId="3" fontId="1" fillId="0" borderId="0" xfId="2" applyNumberFormat="1" applyFont="1" applyAlignment="1">
      <alignment horizontal="center" vertical="center" wrapText="1"/>
    </xf>
    <xf numFmtId="0" fontId="10" fillId="0" borderId="2" xfId="0" applyFont="1" applyBorder="1" applyAlignment="1">
      <alignment horizontal="center" vertical="center" wrapText="1"/>
    </xf>
    <xf numFmtId="167" fontId="10" fillId="0" borderId="2" xfId="0" applyNumberFormat="1" applyFont="1" applyBorder="1" applyAlignment="1">
      <alignment horizontal="center" vertical="center" wrapText="1"/>
    </xf>
    <xf numFmtId="14" fontId="10" fillId="0" borderId="2" xfId="0" applyNumberFormat="1" applyFont="1" applyBorder="1" applyAlignment="1">
      <alignment horizontal="center" vertical="center" wrapText="1"/>
    </xf>
    <xf numFmtId="49" fontId="1" fillId="0" borderId="0" xfId="0" applyNumberFormat="1" applyFont="1" applyAlignment="1">
      <alignment horizontal="center" vertical="center" wrapText="1"/>
    </xf>
    <xf numFmtId="0" fontId="11" fillId="0" borderId="0" xfId="2" applyFont="1" applyAlignment="1">
      <alignment horizontal="center" vertical="center" wrapText="1"/>
    </xf>
    <xf numFmtId="0" fontId="12" fillId="0" borderId="0" xfId="2" applyFont="1" applyAlignment="1">
      <alignment horizontal="center" vertical="center" wrapText="1"/>
    </xf>
    <xf numFmtId="166" fontId="1" fillId="0" borderId="0" xfId="0" applyNumberFormat="1" applyFont="1" applyAlignment="1">
      <alignment horizontal="center" vertical="center" wrapText="1"/>
    </xf>
    <xf numFmtId="0" fontId="12" fillId="3" borderId="0" xfId="2" applyFont="1" applyFill="1" applyAlignment="1">
      <alignment horizontal="center" vertical="center" wrapText="1"/>
    </xf>
    <xf numFmtId="164" fontId="1" fillId="0" borderId="0" xfId="0" applyNumberFormat="1" applyFont="1" applyAlignment="1">
      <alignment horizontal="center" vertical="center" wrapText="1"/>
    </xf>
    <xf numFmtId="0" fontId="10" fillId="0" borderId="3" xfId="0" applyFont="1" applyBorder="1" applyAlignment="1">
      <alignment horizontal="center" vertical="center" wrapText="1"/>
    </xf>
    <xf numFmtId="1" fontId="10" fillId="0" borderId="3" xfId="0" applyNumberFormat="1" applyFont="1" applyBorder="1" applyAlignment="1">
      <alignment horizontal="center" vertical="center" wrapText="1"/>
    </xf>
    <xf numFmtId="49" fontId="10" fillId="0" borderId="3" xfId="0" applyNumberFormat="1" applyFont="1" applyBorder="1" applyAlignment="1">
      <alignment horizontal="center" vertical="center" wrapText="1"/>
    </xf>
    <xf numFmtId="168" fontId="10" fillId="0" borderId="3" xfId="0" applyNumberFormat="1" applyFont="1" applyBorder="1" applyAlignment="1">
      <alignment horizontal="center" vertical="center" wrapText="1"/>
    </xf>
    <xf numFmtId="14" fontId="10" fillId="0" borderId="3" xfId="0" applyNumberFormat="1" applyFont="1" applyBorder="1" applyAlignment="1">
      <alignment horizontal="center" vertical="center" wrapText="1"/>
    </xf>
    <xf numFmtId="0" fontId="11" fillId="0" borderId="3" xfId="2" applyFont="1" applyBorder="1" applyAlignment="1">
      <alignment horizontal="center" vertical="center" wrapText="1"/>
    </xf>
    <xf numFmtId="0" fontId="13" fillId="0" borderId="0" xfId="0" applyFont="1" applyAlignment="1">
      <alignment horizontal="center" vertical="center" wrapText="1"/>
    </xf>
    <xf numFmtId="14" fontId="13" fillId="0" borderId="0" xfId="0" applyNumberFormat="1" applyFont="1" applyAlignment="1">
      <alignment horizontal="center" vertical="center" wrapText="1"/>
    </xf>
    <xf numFmtId="14" fontId="1" fillId="0" borderId="0" xfId="3" applyNumberFormat="1" applyFont="1" applyAlignment="1">
      <alignment horizontal="center" vertical="center" wrapText="1"/>
    </xf>
    <xf numFmtId="0" fontId="1" fillId="6" borderId="0" xfId="0" applyFont="1" applyFill="1" applyAlignment="1">
      <alignment horizontal="center" vertical="center" wrapText="1"/>
    </xf>
    <xf numFmtId="1" fontId="1" fillId="6" borderId="0" xfId="0" applyNumberFormat="1" applyFont="1" applyFill="1" applyAlignment="1">
      <alignment horizontal="center" vertical="center" wrapText="1"/>
    </xf>
    <xf numFmtId="3" fontId="1" fillId="6" borderId="0" xfId="0" applyNumberFormat="1" applyFont="1" applyFill="1" applyAlignment="1">
      <alignment horizontal="center" vertical="center" wrapText="1"/>
    </xf>
    <xf numFmtId="165" fontId="1" fillId="6" borderId="0" xfId="0" applyNumberFormat="1" applyFont="1" applyFill="1" applyAlignment="1">
      <alignment horizontal="center" vertical="center" wrapText="1"/>
    </xf>
    <xf numFmtId="14" fontId="1" fillId="6" borderId="0" xfId="0" applyNumberFormat="1" applyFont="1" applyFill="1" applyAlignment="1">
      <alignment horizontal="center" vertical="center" wrapText="1"/>
    </xf>
    <xf numFmtId="0" fontId="14" fillId="0" borderId="4" xfId="0" applyFont="1" applyBorder="1" applyAlignment="1">
      <alignment horizontal="center" vertical="center" wrapText="1"/>
    </xf>
    <xf numFmtId="0" fontId="14" fillId="0" borderId="5" xfId="0" applyFont="1" applyBorder="1" applyAlignment="1">
      <alignment horizontal="center" vertical="center" wrapText="1"/>
    </xf>
    <xf numFmtId="1" fontId="14" fillId="0" borderId="4" xfId="0" applyNumberFormat="1" applyFont="1" applyBorder="1" applyAlignment="1">
      <alignment horizontal="center" vertical="center" wrapText="1"/>
    </xf>
    <xf numFmtId="167" fontId="14" fillId="0" borderId="4" xfId="0" applyNumberFormat="1" applyFont="1" applyBorder="1" applyAlignment="1">
      <alignment horizontal="center" vertical="center" wrapText="1"/>
    </xf>
    <xf numFmtId="3" fontId="14" fillId="0" borderId="4" xfId="0" applyNumberFormat="1" applyFont="1" applyBorder="1" applyAlignment="1">
      <alignment horizontal="center" vertical="center" wrapText="1"/>
    </xf>
    <xf numFmtId="164" fontId="14" fillId="0" borderId="4" xfId="0" applyNumberFormat="1" applyFont="1" applyBorder="1" applyAlignment="1">
      <alignment horizontal="center" vertical="center" wrapText="1"/>
    </xf>
    <xf numFmtId="0" fontId="11" fillId="0" borderId="4" xfId="2" applyFont="1" applyBorder="1" applyAlignment="1">
      <alignment horizontal="center" vertical="center" wrapText="1"/>
    </xf>
    <xf numFmtId="0" fontId="14" fillId="0" borderId="6" xfId="0" applyFont="1" applyBorder="1" applyAlignment="1">
      <alignment horizontal="center" vertical="center" wrapText="1"/>
    </xf>
    <xf numFmtId="0" fontId="14" fillId="7" borderId="7" xfId="0" applyFont="1" applyFill="1" applyBorder="1" applyAlignment="1">
      <alignment horizontal="center" vertical="center" wrapText="1"/>
    </xf>
    <xf numFmtId="0" fontId="14" fillId="7" borderId="8" xfId="0" applyFont="1" applyFill="1" applyBorder="1" applyAlignment="1">
      <alignment horizontal="center" vertical="center" wrapText="1"/>
    </xf>
    <xf numFmtId="1" fontId="14" fillId="7" borderId="8" xfId="0" applyNumberFormat="1" applyFont="1" applyFill="1" applyBorder="1" applyAlignment="1">
      <alignment horizontal="center" vertical="center" wrapText="1"/>
    </xf>
    <xf numFmtId="167" fontId="14" fillId="7" borderId="8" xfId="0" applyNumberFormat="1" applyFont="1" applyFill="1" applyBorder="1" applyAlignment="1">
      <alignment horizontal="center" vertical="center" wrapText="1"/>
    </xf>
    <xf numFmtId="3" fontId="14" fillId="7" borderId="8" xfId="0" applyNumberFormat="1" applyFont="1" applyFill="1" applyBorder="1" applyAlignment="1">
      <alignment horizontal="center" vertical="center" wrapText="1"/>
    </xf>
    <xf numFmtId="164" fontId="14" fillId="7" borderId="8" xfId="0" applyNumberFormat="1" applyFont="1" applyFill="1" applyBorder="1" applyAlignment="1">
      <alignment horizontal="center" vertical="center" wrapText="1"/>
    </xf>
    <xf numFmtId="0" fontId="14" fillId="7" borderId="9" xfId="0" applyFont="1" applyFill="1" applyBorder="1" applyAlignment="1">
      <alignment horizontal="center" vertical="center" wrapText="1"/>
    </xf>
    <xf numFmtId="0" fontId="15" fillId="0" borderId="0" xfId="0" applyFont="1" applyAlignment="1">
      <alignment horizontal="center" vertical="center" wrapText="1"/>
    </xf>
  </cellXfs>
  <cellStyles count="4">
    <cellStyle name="Hipervínculo" xfId="2" builtinId="8"/>
    <cellStyle name="Normal" xfId="0" builtinId="0"/>
    <cellStyle name="Normal 2" xfId="3" xr:uid="{0F8146AE-A856-BD46-BF98-FC4947F18E10}"/>
    <cellStyle name="Notas" xfId="1" xr:uid="{00000000-0005-0000-0000-000001000000}"/>
  </cellStyles>
  <dxfs count="33">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numFmt numFmtId="19" formatCode="d/m/yy"/>
      <alignment horizontal="center" vertical="center" textRotation="0" wrapText="1" indent="0" justifyLastLine="0" shrinkToFit="0" readingOrder="0"/>
    </dxf>
    <dxf>
      <font>
        <b val="0"/>
        <strike val="0"/>
        <outline val="0"/>
        <shadow val="0"/>
        <u val="none"/>
        <vertAlign val="baseline"/>
        <sz val="12"/>
        <color theme="1"/>
        <name val="Calibri"/>
        <family val="2"/>
        <scheme val="minor"/>
      </font>
      <numFmt numFmtId="19" formatCode="d/m/yy"/>
      <alignment horizontal="center" vertical="center" textRotation="0" wrapText="1" indent="0" justifyLastLine="0" shrinkToFit="0" readingOrder="0"/>
    </dxf>
    <dxf>
      <font>
        <b val="0"/>
        <strike val="0"/>
        <outline val="0"/>
        <shadow val="0"/>
        <u val="none"/>
        <vertAlign val="baseline"/>
        <sz val="12"/>
        <color theme="1"/>
        <name val="Calibri"/>
        <family val="2"/>
        <scheme val="minor"/>
      </font>
      <numFmt numFmtId="19" formatCode="d/m/yy"/>
      <alignment horizontal="center" vertical="center" textRotation="0" wrapText="1" indent="0" justifyLastLine="0" shrinkToFit="0" readingOrder="0"/>
    </dxf>
    <dxf>
      <font>
        <b val="0"/>
        <strike val="0"/>
        <outline val="0"/>
        <shadow val="0"/>
        <u val="none"/>
        <vertAlign val="baseline"/>
        <sz val="12"/>
        <color theme="1"/>
        <name val="Calibri"/>
        <family val="2"/>
        <scheme val="minor"/>
      </font>
      <numFmt numFmtId="19" formatCode="d/m/yy"/>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numFmt numFmtId="165" formatCode="0.0000"/>
      <alignment horizontal="center" vertical="center" textRotation="0" wrapText="1" indent="0" justifyLastLine="0" shrinkToFit="0" readingOrder="0"/>
    </dxf>
    <dxf>
      <font>
        <b val="0"/>
        <strike val="0"/>
        <outline val="0"/>
        <shadow val="0"/>
        <u val="none"/>
        <vertAlign val="baseline"/>
        <sz val="12"/>
        <color theme="1"/>
        <name val="Calibri"/>
        <family val="2"/>
        <scheme val="minor"/>
      </font>
      <numFmt numFmtId="3" formatCode="#,##0"/>
      <alignment horizontal="center" vertical="center" textRotation="0" wrapText="1" indent="0" justifyLastLine="0" shrinkToFit="0" readingOrder="0"/>
    </dxf>
    <dxf>
      <font>
        <b val="0"/>
        <strike val="0"/>
        <outline val="0"/>
        <shadow val="0"/>
        <u val="none"/>
        <vertAlign val="baseline"/>
        <sz val="12"/>
        <color theme="1"/>
        <name val="Calibri"/>
        <family val="2"/>
        <scheme val="minor"/>
      </font>
      <numFmt numFmtId="3" formatCode="#,##0"/>
      <alignment horizontal="center" vertical="center" textRotation="0" wrapText="1" indent="0" justifyLastLine="0" shrinkToFit="0" readingOrder="0"/>
    </dxf>
    <dxf>
      <font>
        <b val="0"/>
        <strike val="0"/>
        <outline val="0"/>
        <shadow val="0"/>
        <u val="none"/>
        <vertAlign val="baseline"/>
        <sz val="12"/>
        <color theme="1"/>
        <name val="Calibri"/>
        <family val="2"/>
        <scheme val="minor"/>
      </font>
      <numFmt numFmtId="3" formatCode="#,##0"/>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numFmt numFmtId="3" formatCode="#,##0"/>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numFmt numFmtId="3" formatCode="#,##0"/>
      <alignment horizontal="center" vertical="center" textRotation="0" wrapText="1" indent="0" justifyLastLine="0" shrinkToFit="0" readingOrder="0"/>
    </dxf>
    <dxf>
      <font>
        <b val="0"/>
        <strike val="0"/>
        <outline val="0"/>
        <shadow val="0"/>
        <u val="none"/>
        <vertAlign val="baseline"/>
        <sz val="12"/>
        <color theme="1"/>
        <name val="Calibri"/>
        <family val="2"/>
        <scheme val="minor"/>
      </font>
      <numFmt numFmtId="1" formatCode="0"/>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font>
        <b val="0"/>
        <strike val="0"/>
        <outline val="0"/>
        <shadow val="0"/>
        <u val="none"/>
        <vertAlign val="baseline"/>
        <sz val="12"/>
        <color theme="1"/>
        <name val="Calibri"/>
        <family val="2"/>
        <scheme val="minor"/>
      </font>
      <alignment horizontal="center" vertical="center" textRotation="0" wrapText="1" indent="0" justifyLastLine="0" shrinkToFit="0" readingOrder="0"/>
    </dxf>
    <dxf>
      <border>
        <bottom style="thin">
          <color theme="1"/>
        </bottom>
      </border>
    </dxf>
    <dxf>
      <font>
        <strike val="0"/>
        <outline val="0"/>
        <shadow val="0"/>
        <vertAlign val="baseline"/>
        <sz val="12"/>
        <name val="Calibri"/>
        <family val="2"/>
        <scheme val="maj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7" totalsRowShown="0" headerRowDxfId="32" dataDxfId="0" headerRowBorderDxfId="31">
  <autoFilter ref="A1:AD47" xr:uid="{C7BB49DC-9D24-614F-848B-0F39C691B2B5}"/>
  <sortState xmlns:xlrd2="http://schemas.microsoft.com/office/spreadsheetml/2017/richdata2" ref="A2:AC41">
    <sortCondition ref="D1:D41"/>
  </sortState>
  <tableColumns count="30">
    <tableColumn id="1" xr3:uid="{B0F75E5C-946A-644E-9EB4-93643A1ADB1D}" name="vpu" dataDxfId="30"/>
    <tableColumn id="2" xr3:uid="{0955A7C4-B25E-574D-B27D-1FB04B3EECF0}" name="descripcion_proyecto" dataDxfId="29"/>
    <tableColumn id="3" xr3:uid="{A18EE10B-7E84-2240-B4D3-1E345824A440}" name="peelp" dataDxfId="28"/>
    <tableColumn id="4" xr3:uid="{16CBA668-029E-7948-A2E2-792901752FC7}" name="id_proyecto" dataDxfId="27"/>
    <tableColumn id="5" xr3:uid="{0533A60E-9F7B-384C-8E9E-AF9F698F8BC8}" name="empresa" dataDxfId="26"/>
    <tableColumn id="6" xr3:uid="{E1AB486A-B757-314A-924B-58FCED818ED9}" name="titular_proyecto" dataDxfId="25"/>
    <tableColumn id="7" xr3:uid="{248B94B7-B222-6040-A333-51F513C1F6ED}" name="cuit" dataDxfId="24"/>
    <tableColumn id="8" xr3:uid="{AD5B6DCF-9CBB-3846-858D-9D3985C6A3E4}" name="sector" dataDxfId="23"/>
    <tableColumn id="9" xr3:uid="{4CA252E5-23F1-474A-A9B5-8A0EDF3EAF49}" name="subsector" dataDxfId="22"/>
    <tableColumn id="10" xr3:uid="{F8D93550-E6F5-114D-949F-487B7BFA388C}" name="actividad_subsector_resolucion_mecon" dataDxfId="21"/>
    <tableColumn id="11" xr3:uid="{1475CC17-5B24-3247-8DBA-0625A938B1B7}" name="provincia" dataDxfId="20"/>
    <tableColumn id="12" xr3:uid="{47AF60A5-F6B3-8743-8C92-1EB7255A904F}" name="localidad_region" dataDxfId="19"/>
    <tableColumn id="13" xr3:uid="{75050396-7FEE-5341-9B55-07F221AA6F90}" name="inversion_total_mill_usd" dataDxfId="18"/>
    <tableColumn id="14" xr3:uid="{A7D4770F-B48F-9443-B4A0-4629A448E999}" name="inversion_total_resolucion_mill_usd" dataDxfId="17"/>
    <tableColumn id="15" xr3:uid="{1602558E-3054-8C4C-9A58-AB8CCCD77682}" name="inversion_activos_computables_mill_usd" dataDxfId="16"/>
    <tableColumn id="28" xr3:uid="{87595E4D-D42F-354A-9940-89724D3641FE}" name="inversion_activos_computables_comprometida_anio_1_mill_usd" dataDxfId="15"/>
    <tableColumn id="29" xr3:uid="{688CE13F-074F-304D-836A-8560E747EB65}" name="inversion_activos_computables_comprometida_anio_2_mill_usd" dataDxfId="14"/>
    <tableColumn id="30" xr3:uid="{B6018A02-36C0-DD40-A886-EEE247A26505}" name="inversion_activos_computables_comprometida_2_anios_mill_usd" dataDxfId="13">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2"/>
    <tableColumn id="17" xr3:uid="{03E27E62-7FEF-084F-B60F-9D8063323ACC}" name="empleos_directos_indirectos_informados" dataDxfId="11"/>
    <tableColumn id="27" xr3:uid="{D7C6BCCC-1B44-1443-8A03-2D0A63BC3776}" name="fecha_limite_inversion_minima_activos_computables" dataDxfId="10"/>
    <tableColumn id="18" xr3:uid="{8E1C53B8-81DA-0043-91C5-F9A87892E325}" name="fecha_presentacion" dataDxfId="9"/>
    <tableColumn id="19" xr3:uid="{2487DCCA-74EE-1743-B2CF-7169CF1BEBD2}" name="fecha_adhesion_rigi" dataDxfId="8"/>
    <tableColumn id="20" xr3:uid="{51CF8FC1-2018-404C-A94F-1B1821BFB436}" name="fecha_publicacion_bo" dataDxfId="7"/>
    <tableColumn id="21" xr3:uid="{57FDDB6F-D25E-3742-BBE3-196B6D307586}" name="norma_aprobacion" dataDxfId="6"/>
    <tableColumn id="22" xr3:uid="{5FB062D4-AACF-864F-BFDC-22BF7798BAE5}" name="clasificacion_preexistencia_boletin_oficial" dataDxfId="5"/>
    <tableColumn id="23" xr3:uid="{2371D7C3-27BF-8B4D-9413-38667163C45E}" name="justificacion_preexistencia_boletin_oficial" dataDxfId="4"/>
    <tableColumn id="24" xr3:uid="{6EB99972-175D-EC4A-8EB6-3F4E07EFB52D}" name="link_norma" dataDxfId="3"/>
    <tableColumn id="25" xr3:uid="{968AE59F-CF82-D848-82E7-EE1B09768E94}" name="fuentes" dataDxfId="2"/>
    <tableColumn id="26" xr3:uid="{254939B9-204E-4D4D-9217-E3D8F271ED16}" name="links_fuentes" dataDxfId="1"/>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O24" dT="2026-10-09T18:59:55.16" personId="{3AB22868-5EC9-474A-BBCF-88B6CF007C82}" id="{1C1F2559-7EE3-DF4D-8661-353CB183F945}">
    <text xml:space="preserve">No se incluye en la resolución
</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hyperlink" Target="https://www.boletinoficial.gob.ar/detalleAviso/primera/349616/20261027" TargetMode="Externa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hyperlink" Target="https://www.boletinoficial.gob.ar/detalleAviso/primera/349428/20261022" TargetMode="Externa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29" Type="http://schemas.openxmlformats.org/officeDocument/2006/relationships/table" Target="../tables/table1.xm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hyperlink" Target="https://www.boletinoficial.gob.ar/detalleAviso/primera/348768/20261009" TargetMode="Externa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hyperlink" Target="https://www.boletinoficial.gob.ar/detalleAviso/primera/346966/20260907" TargetMode="External"/><Relationship Id="rId28" Type="http://schemas.openxmlformats.org/officeDocument/2006/relationships/vmlDrawing" Target="../drawings/vmlDrawing1.v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31" Type="http://schemas.microsoft.com/office/2017/10/relationships/threadedComment" Target="../threadedComments/threadedComment1.xm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openxmlformats.org/officeDocument/2006/relationships/drawing" Target="../drawings/drawing1.xml"/><Relationship Id="rId30"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7"/>
  <sheetViews>
    <sheetView tabSelected="1" zoomScaleNormal="100" workbookViewId="0">
      <selection activeCell="AD47" sqref="A2:AD47"/>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22.33203125" bestFit="1" customWidth="1"/>
    <col min="14" max="14" width="32.1640625" bestFit="1" customWidth="1"/>
    <col min="15" max="15" width="35.1640625" bestFit="1" customWidth="1"/>
    <col min="16" max="17" width="53.6640625" bestFit="1" customWidth="1"/>
    <col min="18" max="18" width="54.5" bestFit="1"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4">
      <c r="A1" s="6" t="s">
        <v>357</v>
      </c>
      <c r="B1" s="6" t="s">
        <v>358</v>
      </c>
      <c r="C1" s="6" t="s">
        <v>359</v>
      </c>
      <c r="D1" s="6" t="s">
        <v>0</v>
      </c>
      <c r="E1" s="6" t="s">
        <v>1</v>
      </c>
      <c r="F1" s="6" t="s">
        <v>166</v>
      </c>
      <c r="G1" s="6" t="s">
        <v>360</v>
      </c>
      <c r="H1" s="6" t="s">
        <v>2</v>
      </c>
      <c r="I1" s="6" t="s">
        <v>3</v>
      </c>
      <c r="J1" s="6" t="s">
        <v>361</v>
      </c>
      <c r="K1" s="6" t="s">
        <v>4</v>
      </c>
      <c r="L1" s="6" t="s">
        <v>5</v>
      </c>
      <c r="M1" s="6" t="s">
        <v>362</v>
      </c>
      <c r="N1" s="6" t="s">
        <v>363</v>
      </c>
      <c r="O1" s="6" t="s">
        <v>364</v>
      </c>
      <c r="P1" s="6" t="s">
        <v>365</v>
      </c>
      <c r="Q1" s="6" t="s">
        <v>366</v>
      </c>
      <c r="R1" s="6" t="s">
        <v>367</v>
      </c>
      <c r="S1" s="6" t="s">
        <v>368</v>
      </c>
      <c r="T1" s="6" t="s">
        <v>369</v>
      </c>
      <c r="U1" s="7" t="s">
        <v>356</v>
      </c>
      <c r="V1" s="7" t="s">
        <v>6</v>
      </c>
      <c r="W1" s="7" t="s">
        <v>149</v>
      </c>
      <c r="X1" s="7" t="s">
        <v>150</v>
      </c>
      <c r="Y1" s="6" t="s">
        <v>7</v>
      </c>
      <c r="Z1" s="6" t="s">
        <v>370</v>
      </c>
      <c r="AA1" s="6" t="s">
        <v>371</v>
      </c>
      <c r="AB1" s="6" t="s">
        <v>124</v>
      </c>
      <c r="AC1" s="6" t="s">
        <v>372</v>
      </c>
      <c r="AD1" s="6" t="s">
        <v>373</v>
      </c>
    </row>
    <row r="2" spans="1:30" ht="102">
      <c r="A2" s="8" t="s">
        <v>163</v>
      </c>
      <c r="B2" s="8" t="s">
        <v>258</v>
      </c>
      <c r="C2" s="8" t="s">
        <v>154</v>
      </c>
      <c r="D2" s="9">
        <v>1</v>
      </c>
      <c r="E2" s="10" t="s">
        <v>8</v>
      </c>
      <c r="F2" s="8" t="s">
        <v>9</v>
      </c>
      <c r="G2" s="8" t="s">
        <v>165</v>
      </c>
      <c r="H2" s="10" t="s">
        <v>138</v>
      </c>
      <c r="I2" s="8" t="s">
        <v>147</v>
      </c>
      <c r="J2" s="8" t="s">
        <v>164</v>
      </c>
      <c r="K2" s="8" t="s">
        <v>168</v>
      </c>
      <c r="L2" s="8" t="s">
        <v>169</v>
      </c>
      <c r="M2" s="10">
        <v>550</v>
      </c>
      <c r="N2" s="10">
        <v>550</v>
      </c>
      <c r="O2" s="10">
        <v>513</v>
      </c>
      <c r="P2" s="11">
        <v>393.61748899999998</v>
      </c>
      <c r="Q2" s="11">
        <v>30.575689000000001</v>
      </c>
      <c r="R2" s="12">
        <f>SUM(Tabla22[[#This Row],[inversion_activos_computables_comprometida_anio_1_mill_usd]:[inversion_activos_computables_comprometida_anio_2_mill_usd]])</f>
        <v>424.19317799999999</v>
      </c>
      <c r="S2" s="8" t="s">
        <v>14</v>
      </c>
      <c r="T2" s="8">
        <v>7535</v>
      </c>
      <c r="U2" s="13">
        <v>46387</v>
      </c>
      <c r="V2" s="14">
        <v>45957</v>
      </c>
      <c r="W2" s="14">
        <v>46142</v>
      </c>
      <c r="X2" s="14">
        <v>46154</v>
      </c>
      <c r="Y2" s="8" t="s">
        <v>12</v>
      </c>
      <c r="Z2" s="8" t="s">
        <v>142</v>
      </c>
      <c r="AA2" s="8" t="s">
        <v>204</v>
      </c>
      <c r="AB2" s="15" t="s">
        <v>131</v>
      </c>
      <c r="AC2" s="8" t="s">
        <v>223</v>
      </c>
      <c r="AD2" s="16"/>
    </row>
    <row r="3" spans="1:30" ht="102">
      <c r="A3" s="16" t="s">
        <v>15</v>
      </c>
      <c r="B3" s="16" t="s">
        <v>259</v>
      </c>
      <c r="C3" s="16" t="s">
        <v>154</v>
      </c>
      <c r="D3" s="17">
        <v>2</v>
      </c>
      <c r="E3" s="18" t="s">
        <v>16</v>
      </c>
      <c r="F3" s="16" t="s">
        <v>17</v>
      </c>
      <c r="G3" s="16" t="s">
        <v>170</v>
      </c>
      <c r="H3" s="18" t="s">
        <v>18</v>
      </c>
      <c r="I3" s="16" t="s">
        <v>160</v>
      </c>
      <c r="J3" s="16" t="s">
        <v>151</v>
      </c>
      <c r="K3" s="16" t="s">
        <v>171</v>
      </c>
      <c r="L3" s="16" t="s">
        <v>20</v>
      </c>
      <c r="M3" s="18">
        <v>764</v>
      </c>
      <c r="N3" s="18">
        <v>482</v>
      </c>
      <c r="O3" s="18">
        <v>482</v>
      </c>
      <c r="P3" s="11">
        <v>98.5</v>
      </c>
      <c r="Q3" s="11">
        <v>253.9</v>
      </c>
      <c r="R3" s="11">
        <f>SUM(Tabla22[[#This Row],[inversion_activos_computables_comprometida_anio_1_mill_usd]:[inversion_activos_computables_comprometida_anio_2_mill_usd]])</f>
        <v>352.4</v>
      </c>
      <c r="S3" s="16" t="s">
        <v>14</v>
      </c>
      <c r="T3" s="16">
        <v>2013</v>
      </c>
      <c r="U3" s="13">
        <v>46721</v>
      </c>
      <c r="V3" s="13">
        <v>45981</v>
      </c>
      <c r="W3" s="13">
        <v>46080</v>
      </c>
      <c r="X3" s="13">
        <v>46149</v>
      </c>
      <c r="Y3" s="16" t="s">
        <v>21</v>
      </c>
      <c r="Z3" s="16" t="s">
        <v>154</v>
      </c>
      <c r="AA3" s="16" t="s">
        <v>205</v>
      </c>
      <c r="AB3" s="19" t="s">
        <v>132</v>
      </c>
      <c r="AC3" s="16" t="s">
        <v>224</v>
      </c>
      <c r="AD3" s="16"/>
    </row>
    <row r="4" spans="1:30" ht="102">
      <c r="A4" s="16" t="s">
        <v>162</v>
      </c>
      <c r="B4" s="16" t="s">
        <v>257</v>
      </c>
      <c r="C4" s="16" t="s">
        <v>154</v>
      </c>
      <c r="D4" s="9">
        <v>3</v>
      </c>
      <c r="E4" s="18" t="s">
        <v>22</v>
      </c>
      <c r="F4" s="16" t="s">
        <v>23</v>
      </c>
      <c r="G4" s="16" t="s">
        <v>161</v>
      </c>
      <c r="H4" s="18" t="s">
        <v>18</v>
      </c>
      <c r="I4" s="16" t="s">
        <v>160</v>
      </c>
      <c r="J4" s="16" t="s">
        <v>151</v>
      </c>
      <c r="K4" s="16" t="s">
        <v>24</v>
      </c>
      <c r="L4" s="16" t="s">
        <v>25</v>
      </c>
      <c r="M4" s="18">
        <v>665</v>
      </c>
      <c r="N4" s="18">
        <v>520</v>
      </c>
      <c r="O4" s="18">
        <v>520</v>
      </c>
      <c r="P4" s="11">
        <v>46.741253999999998</v>
      </c>
      <c r="Q4" s="11">
        <v>43.858696000000002</v>
      </c>
      <c r="R4" s="11">
        <f>SUM(Tabla22[[#This Row],[inversion_activos_computables_comprometida_anio_1_mill_usd]:[inversion_activos_computables_comprometida_anio_2_mill_usd]])</f>
        <v>90.599950000000007</v>
      </c>
      <c r="S4" s="16" t="s">
        <v>14</v>
      </c>
      <c r="T4" s="16">
        <v>4500</v>
      </c>
      <c r="U4" s="13">
        <v>47118</v>
      </c>
      <c r="V4" s="13">
        <v>45814</v>
      </c>
      <c r="W4" s="13">
        <v>45988</v>
      </c>
      <c r="X4" s="13">
        <v>46035</v>
      </c>
      <c r="Y4" s="16" t="s">
        <v>26</v>
      </c>
      <c r="Z4" s="16" t="s">
        <v>154</v>
      </c>
      <c r="AA4" s="16" t="s">
        <v>203</v>
      </c>
      <c r="AB4" s="19" t="s">
        <v>130</v>
      </c>
      <c r="AC4" s="16" t="s">
        <v>222</v>
      </c>
      <c r="AD4" s="16"/>
    </row>
    <row r="5" spans="1:30" ht="238">
      <c r="A5" s="16" t="s">
        <v>27</v>
      </c>
      <c r="B5" s="16" t="s">
        <v>262</v>
      </c>
      <c r="C5" s="16" t="s">
        <v>154</v>
      </c>
      <c r="D5" s="17">
        <v>4</v>
      </c>
      <c r="E5" s="18" t="s">
        <v>28</v>
      </c>
      <c r="F5" s="16" t="s">
        <v>29</v>
      </c>
      <c r="G5" s="16" t="s">
        <v>184</v>
      </c>
      <c r="H5" s="18" t="s">
        <v>10</v>
      </c>
      <c r="I5" s="16" t="s">
        <v>30</v>
      </c>
      <c r="J5" s="16" t="s">
        <v>30</v>
      </c>
      <c r="K5" s="16" t="s">
        <v>31</v>
      </c>
      <c r="L5" s="16" t="s">
        <v>32</v>
      </c>
      <c r="M5" s="18">
        <v>276</v>
      </c>
      <c r="N5" s="18">
        <v>276</v>
      </c>
      <c r="O5" s="18">
        <v>255</v>
      </c>
      <c r="P5" s="11">
        <v>80.371903000000003</v>
      </c>
      <c r="Q5" s="11">
        <v>136.091475</v>
      </c>
      <c r="R5" s="11">
        <f>SUM(Tabla22[[#This Row],[inversion_activos_computables_comprometida_anio_1_mill_usd]:[inversion_activos_computables_comprometida_anio_2_mill_usd]])</f>
        <v>216.46337800000001</v>
      </c>
      <c r="S5" s="16" t="s">
        <v>14</v>
      </c>
      <c r="T5" s="16">
        <v>165</v>
      </c>
      <c r="U5" s="13">
        <v>46721</v>
      </c>
      <c r="V5" s="13">
        <v>45656</v>
      </c>
      <c r="W5" s="13">
        <v>45863</v>
      </c>
      <c r="X5" s="13">
        <v>45895</v>
      </c>
      <c r="Y5" s="16" t="s">
        <v>33</v>
      </c>
      <c r="Z5" s="16" t="s">
        <v>154</v>
      </c>
      <c r="AA5" s="16" t="s">
        <v>209</v>
      </c>
      <c r="AB5" s="19" t="s">
        <v>135</v>
      </c>
      <c r="AC5" s="16" t="s">
        <v>228</v>
      </c>
      <c r="AD5" s="16"/>
    </row>
    <row r="6" spans="1:30" ht="102">
      <c r="A6" s="8" t="s">
        <v>34</v>
      </c>
      <c r="B6" s="8" t="s">
        <v>265</v>
      </c>
      <c r="C6" s="8" t="s">
        <v>154</v>
      </c>
      <c r="D6" s="9">
        <v>5</v>
      </c>
      <c r="E6" s="10" t="s">
        <v>450</v>
      </c>
      <c r="F6" s="8" t="s">
        <v>35</v>
      </c>
      <c r="G6" s="8" t="s">
        <v>188</v>
      </c>
      <c r="H6" s="10" t="s">
        <v>10</v>
      </c>
      <c r="I6" s="8" t="s">
        <v>189</v>
      </c>
      <c r="J6" s="8"/>
      <c r="K6" s="8" t="s">
        <v>36</v>
      </c>
      <c r="L6" s="8" t="s">
        <v>25</v>
      </c>
      <c r="M6" s="10">
        <v>211</v>
      </c>
      <c r="N6" s="10">
        <v>212</v>
      </c>
      <c r="O6" s="10">
        <v>212</v>
      </c>
      <c r="P6" s="11">
        <f>Tabla22[[#This Row],[inversion_activos_computables_comprometida_2_anios_mill_usd]]/2</f>
        <v>102.27200000000001</v>
      </c>
      <c r="Q6" s="11">
        <f>Tabla22[[#This Row],[inversion_activos_computables_comprometida_2_anios_mill_usd]]/2</f>
        <v>102.27200000000001</v>
      </c>
      <c r="R6" s="11">
        <v>204.54400000000001</v>
      </c>
      <c r="S6" s="8" t="s">
        <v>14</v>
      </c>
      <c r="T6" s="8">
        <v>384</v>
      </c>
      <c r="U6" s="13">
        <v>46417</v>
      </c>
      <c r="V6" s="14">
        <v>45590</v>
      </c>
      <c r="W6" s="14">
        <v>45642</v>
      </c>
      <c r="X6" s="14">
        <v>45664</v>
      </c>
      <c r="Y6" s="8" t="s">
        <v>37</v>
      </c>
      <c r="Z6" s="8" t="s">
        <v>154</v>
      </c>
      <c r="AA6" s="8" t="s">
        <v>212</v>
      </c>
      <c r="AB6" s="15" t="s">
        <v>123</v>
      </c>
      <c r="AC6" s="8" t="s">
        <v>231</v>
      </c>
      <c r="AD6" s="16"/>
    </row>
    <row r="7" spans="1:30" ht="221">
      <c r="A7" s="8" t="s">
        <v>38</v>
      </c>
      <c r="B7" s="8" t="s">
        <v>254</v>
      </c>
      <c r="C7" s="8" t="s">
        <v>142</v>
      </c>
      <c r="D7" s="17">
        <v>6</v>
      </c>
      <c r="E7" s="10" t="s">
        <v>39</v>
      </c>
      <c r="F7" s="8" t="s">
        <v>145</v>
      </c>
      <c r="G7" s="8" t="s">
        <v>140</v>
      </c>
      <c r="H7" s="10" t="s">
        <v>138</v>
      </c>
      <c r="I7" s="8" t="s">
        <v>144</v>
      </c>
      <c r="J7" s="8" t="s">
        <v>141</v>
      </c>
      <c r="K7" s="8" t="s">
        <v>40</v>
      </c>
      <c r="L7" s="8" t="s">
        <v>11</v>
      </c>
      <c r="M7" s="10">
        <v>15156</v>
      </c>
      <c r="N7" s="10">
        <v>6878</v>
      </c>
      <c r="O7" s="10">
        <v>2825</v>
      </c>
      <c r="P7" s="11">
        <v>105</v>
      </c>
      <c r="Q7" s="11">
        <v>354</v>
      </c>
      <c r="R7" s="12">
        <f>SUM(Tabla22[[#This Row],[inversion_activos_computables_comprometida_anio_1_mill_usd]:[inversion_activos_computables_comprometida_anio_2_mill_usd]])</f>
        <v>459</v>
      </c>
      <c r="S7" s="8" t="s">
        <v>14</v>
      </c>
      <c r="T7" s="8">
        <v>836</v>
      </c>
      <c r="U7" s="13">
        <v>49674</v>
      </c>
      <c r="V7" s="14">
        <v>45617</v>
      </c>
      <c r="W7" s="14">
        <v>45775</v>
      </c>
      <c r="X7" s="14">
        <v>45776</v>
      </c>
      <c r="Y7" s="8" t="s">
        <v>41</v>
      </c>
      <c r="Z7" s="8" t="s">
        <v>154</v>
      </c>
      <c r="AA7" s="8" t="s">
        <v>197</v>
      </c>
      <c r="AB7" s="20" t="s">
        <v>126</v>
      </c>
      <c r="AC7" s="8" t="s">
        <v>217</v>
      </c>
      <c r="AD7" s="16"/>
    </row>
    <row r="8" spans="1:30" ht="153">
      <c r="A8" s="16" t="s">
        <v>42</v>
      </c>
      <c r="B8" s="16" t="s">
        <v>260</v>
      </c>
      <c r="C8" s="16" t="s">
        <v>154</v>
      </c>
      <c r="D8" s="9">
        <v>7</v>
      </c>
      <c r="E8" s="18" t="s">
        <v>43</v>
      </c>
      <c r="F8" s="16" t="s">
        <v>44</v>
      </c>
      <c r="G8" s="16" t="s">
        <v>178</v>
      </c>
      <c r="H8" s="18" t="s">
        <v>45</v>
      </c>
      <c r="I8" s="16" t="s">
        <v>45</v>
      </c>
      <c r="J8" s="16" t="s">
        <v>179</v>
      </c>
      <c r="K8" s="16" t="s">
        <v>31</v>
      </c>
      <c r="L8" s="16" t="s">
        <v>31</v>
      </c>
      <c r="M8" s="18">
        <v>286</v>
      </c>
      <c r="N8" s="18">
        <v>286</v>
      </c>
      <c r="O8" s="18">
        <v>286</v>
      </c>
      <c r="P8" s="11">
        <v>142.874</v>
      </c>
      <c r="Q8" s="11">
        <v>127.334</v>
      </c>
      <c r="R8" s="11">
        <f>SUM(Tabla22[[#This Row],[inversion_activos_computables_comprometida_anio_1_mill_usd]:[inversion_activos_computables_comprometida_anio_2_mill_usd]])</f>
        <v>270.20799999999997</v>
      </c>
      <c r="S8" s="16" t="s">
        <v>14</v>
      </c>
      <c r="T8" s="16">
        <v>3800</v>
      </c>
      <c r="U8" s="13">
        <v>46326</v>
      </c>
      <c r="V8" s="13">
        <v>45638</v>
      </c>
      <c r="W8" s="13">
        <v>45807</v>
      </c>
      <c r="X8" s="13">
        <v>45859</v>
      </c>
      <c r="Y8" s="16" t="s">
        <v>46</v>
      </c>
      <c r="Z8" s="16" t="s">
        <v>154</v>
      </c>
      <c r="AA8" s="16" t="s">
        <v>207</v>
      </c>
      <c r="AB8" s="21" t="s">
        <v>137</v>
      </c>
      <c r="AC8" s="16" t="s">
        <v>226</v>
      </c>
      <c r="AD8" s="16"/>
    </row>
    <row r="9" spans="1:30" ht="119">
      <c r="A9" s="8" t="s">
        <v>47</v>
      </c>
      <c r="B9" s="8" t="s">
        <v>159</v>
      </c>
      <c r="C9" s="8" t="s">
        <v>154</v>
      </c>
      <c r="D9" s="17">
        <v>8</v>
      </c>
      <c r="E9" s="10" t="s">
        <v>48</v>
      </c>
      <c r="F9" s="8" t="s">
        <v>49</v>
      </c>
      <c r="G9" s="8" t="s">
        <v>158</v>
      </c>
      <c r="H9" s="10" t="s">
        <v>18</v>
      </c>
      <c r="I9" s="8" t="s">
        <v>50</v>
      </c>
      <c r="J9" s="8" t="s">
        <v>151</v>
      </c>
      <c r="K9" s="8" t="s">
        <v>36</v>
      </c>
      <c r="L9" s="8" t="s">
        <v>25</v>
      </c>
      <c r="M9" s="10">
        <v>891</v>
      </c>
      <c r="N9" s="10">
        <v>613</v>
      </c>
      <c r="O9" s="10">
        <v>613</v>
      </c>
      <c r="P9" s="11">
        <v>40.542000000000002</v>
      </c>
      <c r="Q9" s="11">
        <v>148.056566</v>
      </c>
      <c r="R9" s="12">
        <f>SUM(Tabla22[[#This Row],[inversion_activos_computables_comprometida_anio_1_mill_usd]:[inversion_activos_computables_comprometida_anio_2_mill_usd]])</f>
        <v>188.59856600000001</v>
      </c>
      <c r="S9" s="8" t="s">
        <v>14</v>
      </c>
      <c r="T9" s="8">
        <v>6300</v>
      </c>
      <c r="U9" s="13">
        <v>46997</v>
      </c>
      <c r="V9" s="14">
        <v>45967</v>
      </c>
      <c r="W9" s="14">
        <v>46155</v>
      </c>
      <c r="X9" s="14">
        <v>46168</v>
      </c>
      <c r="Y9" s="8" t="s">
        <v>51</v>
      </c>
      <c r="Z9" s="8" t="s">
        <v>154</v>
      </c>
      <c r="AA9" s="8" t="s">
        <v>202</v>
      </c>
      <c r="AB9" s="15" t="s">
        <v>129</v>
      </c>
      <c r="AC9" s="8" t="s">
        <v>221</v>
      </c>
      <c r="AD9" s="16"/>
    </row>
    <row r="10" spans="1:30" ht="136">
      <c r="A10" s="16" t="s">
        <v>156</v>
      </c>
      <c r="B10" s="16" t="s">
        <v>256</v>
      </c>
      <c r="C10" s="16" t="s">
        <v>142</v>
      </c>
      <c r="D10" s="9">
        <v>9</v>
      </c>
      <c r="E10" s="18" t="s">
        <v>52</v>
      </c>
      <c r="F10" s="45" t="s">
        <v>532</v>
      </c>
      <c r="G10" s="45" t="s">
        <v>533</v>
      </c>
      <c r="H10" s="18" t="s">
        <v>18</v>
      </c>
      <c r="I10" s="16" t="s">
        <v>53</v>
      </c>
      <c r="J10" s="16" t="s">
        <v>157</v>
      </c>
      <c r="K10" s="16" t="s">
        <v>19</v>
      </c>
      <c r="L10" s="16" t="s">
        <v>20</v>
      </c>
      <c r="M10" s="18">
        <v>2744</v>
      </c>
      <c r="N10" s="18">
        <v>2744</v>
      </c>
      <c r="O10" s="18">
        <v>2299</v>
      </c>
      <c r="P10" s="11">
        <v>516.96396300000004</v>
      </c>
      <c r="Q10" s="11">
        <v>776.54763100000002</v>
      </c>
      <c r="R10" s="11">
        <f>SUM(Tabla22[[#This Row],[inversion_activos_computables_comprometida_anio_1_mill_usd]:[inversion_activos_computables_comprometida_anio_2_mill_usd]])</f>
        <v>1293.5115940000001</v>
      </c>
      <c r="S10" s="16" t="s">
        <v>14</v>
      </c>
      <c r="T10" s="16">
        <v>1985</v>
      </c>
      <c r="U10" s="13">
        <v>47299</v>
      </c>
      <c r="V10" s="13">
        <v>45713</v>
      </c>
      <c r="W10" s="13">
        <v>45796</v>
      </c>
      <c r="X10" s="13">
        <v>45807</v>
      </c>
      <c r="Y10" s="16" t="s">
        <v>54</v>
      </c>
      <c r="Z10" s="16" t="s">
        <v>142</v>
      </c>
      <c r="AA10" s="16" t="s">
        <v>201</v>
      </c>
      <c r="AB10" s="19" t="s">
        <v>128</v>
      </c>
      <c r="AC10" s="16" t="s">
        <v>220</v>
      </c>
      <c r="AD10" s="16"/>
    </row>
    <row r="11" spans="1:30" ht="255">
      <c r="A11" s="8" t="s">
        <v>274</v>
      </c>
      <c r="B11" s="8" t="s">
        <v>263</v>
      </c>
      <c r="C11" s="8" t="s">
        <v>154</v>
      </c>
      <c r="D11" s="17">
        <v>10</v>
      </c>
      <c r="E11" s="10" t="s">
        <v>52</v>
      </c>
      <c r="F11" s="8" t="s">
        <v>185</v>
      </c>
      <c r="G11" s="8" t="s">
        <v>186</v>
      </c>
      <c r="H11" s="10" t="s">
        <v>18</v>
      </c>
      <c r="I11" s="8" t="s">
        <v>53</v>
      </c>
      <c r="J11" s="8" t="s">
        <v>157</v>
      </c>
      <c r="K11" s="8" t="s">
        <v>55</v>
      </c>
      <c r="L11" s="8" t="s">
        <v>20</v>
      </c>
      <c r="M11" s="10">
        <v>531</v>
      </c>
      <c r="N11" s="10">
        <v>251</v>
      </c>
      <c r="O11" s="10">
        <v>251</v>
      </c>
      <c r="P11" s="11">
        <v>92.662282000000005</v>
      </c>
      <c r="Q11" s="11">
        <v>0</v>
      </c>
      <c r="R11" s="12">
        <f>SUM(Tabla22[[#This Row],[inversion_activos_computables_comprometida_anio_1_mill_usd]:[inversion_activos_computables_comprometida_anio_2_mill_usd]])</f>
        <v>92.662282000000005</v>
      </c>
      <c r="S11" s="8" t="s">
        <v>14</v>
      </c>
      <c r="T11" s="8">
        <v>1273</v>
      </c>
      <c r="U11" s="13">
        <v>46357</v>
      </c>
      <c r="V11" s="14">
        <v>45898</v>
      </c>
      <c r="W11" s="14">
        <v>46106</v>
      </c>
      <c r="X11" s="14">
        <v>46112</v>
      </c>
      <c r="Y11" s="8" t="s">
        <v>56</v>
      </c>
      <c r="Z11" s="8" t="s">
        <v>142</v>
      </c>
      <c r="AA11" s="8" t="s">
        <v>210</v>
      </c>
      <c r="AB11" s="15" t="s">
        <v>134</v>
      </c>
      <c r="AC11" s="8" t="s">
        <v>229</v>
      </c>
      <c r="AD11" s="16"/>
    </row>
    <row r="12" spans="1:30" ht="136">
      <c r="A12" s="8" t="s">
        <v>181</v>
      </c>
      <c r="B12" s="8" t="s">
        <v>261</v>
      </c>
      <c r="C12" s="8" t="s">
        <v>154</v>
      </c>
      <c r="D12" s="9">
        <v>11</v>
      </c>
      <c r="E12" s="10" t="s">
        <v>57</v>
      </c>
      <c r="F12" s="8" t="s">
        <v>58</v>
      </c>
      <c r="G12" s="8" t="s">
        <v>180</v>
      </c>
      <c r="H12" s="10" t="s">
        <v>59</v>
      </c>
      <c r="I12" s="8" t="s">
        <v>60</v>
      </c>
      <c r="J12" s="8" t="s">
        <v>182</v>
      </c>
      <c r="K12" s="8" t="s">
        <v>61</v>
      </c>
      <c r="L12" s="8" t="s">
        <v>32</v>
      </c>
      <c r="M12" s="10">
        <v>277</v>
      </c>
      <c r="N12" s="10">
        <v>277</v>
      </c>
      <c r="O12" s="10">
        <v>277</v>
      </c>
      <c r="P12" s="11">
        <v>91.70244649</v>
      </c>
      <c r="Q12" s="11">
        <v>74.2</v>
      </c>
      <c r="R12" s="12">
        <f>SUM(Tabla22[[#This Row],[inversion_activos_computables_comprometida_anio_1_mill_usd]:[inversion_activos_computables_comprometida_anio_2_mill_usd]])</f>
        <v>165.90244648999999</v>
      </c>
      <c r="S12" s="8" t="s">
        <v>14</v>
      </c>
      <c r="T12" s="8">
        <v>9700</v>
      </c>
      <c r="U12" s="13">
        <v>46478</v>
      </c>
      <c r="V12" s="14">
        <v>45757</v>
      </c>
      <c r="W12" s="14">
        <v>45953</v>
      </c>
      <c r="X12" s="14">
        <v>45980</v>
      </c>
      <c r="Y12" s="8" t="s">
        <v>62</v>
      </c>
      <c r="Z12" s="8" t="s">
        <v>154</v>
      </c>
      <c r="AA12" s="8" t="s">
        <v>208</v>
      </c>
      <c r="AB12" s="15" t="s">
        <v>136</v>
      </c>
      <c r="AC12" s="8" t="s">
        <v>227</v>
      </c>
      <c r="AD12" s="16"/>
    </row>
    <row r="13" spans="1:30" ht="372">
      <c r="A13" s="16" t="s">
        <v>148</v>
      </c>
      <c r="B13" s="16" t="s">
        <v>510</v>
      </c>
      <c r="C13" s="16" t="s">
        <v>142</v>
      </c>
      <c r="D13" s="17">
        <v>12</v>
      </c>
      <c r="E13" s="18" t="s">
        <v>63</v>
      </c>
      <c r="F13" s="16" t="s">
        <v>64</v>
      </c>
      <c r="G13" s="16" t="s">
        <v>347</v>
      </c>
      <c r="H13" s="18" t="s">
        <v>138</v>
      </c>
      <c r="I13" s="16" t="s">
        <v>147</v>
      </c>
      <c r="J13" s="16" t="s">
        <v>146</v>
      </c>
      <c r="K13" s="16" t="s">
        <v>40</v>
      </c>
      <c r="L13" s="16" t="s">
        <v>11</v>
      </c>
      <c r="M13" s="18">
        <v>2900</v>
      </c>
      <c r="N13" s="18">
        <v>3050</v>
      </c>
      <c r="O13" s="18">
        <v>2486</v>
      </c>
      <c r="P13" s="11">
        <v>1318</v>
      </c>
      <c r="Q13" s="11">
        <v>1123</v>
      </c>
      <c r="R13" s="11">
        <f>SUM(Tabla22[[#This Row],[inversion_activos_computables_comprometida_anio_1_mill_usd]:[inversion_activos_computables_comprometida_anio_2_mill_usd]])</f>
        <v>2441</v>
      </c>
      <c r="S13" s="16" t="s">
        <v>14</v>
      </c>
      <c r="T13" s="16">
        <v>3108</v>
      </c>
      <c r="U13" s="13">
        <v>47118</v>
      </c>
      <c r="V13" s="13">
        <v>45611</v>
      </c>
      <c r="W13" s="13">
        <v>45722</v>
      </c>
      <c r="X13" s="13">
        <v>45736</v>
      </c>
      <c r="Y13" s="16" t="s">
        <v>65</v>
      </c>
      <c r="Z13" s="16" t="s">
        <v>154</v>
      </c>
      <c r="AA13" s="16" t="s">
        <v>198</v>
      </c>
      <c r="AB13" s="19" t="s">
        <v>125</v>
      </c>
      <c r="AC13" s="16" t="s">
        <v>218</v>
      </c>
      <c r="AD13" s="16"/>
    </row>
    <row r="14" spans="1:30" ht="153">
      <c r="A14" s="8" t="s">
        <v>174</v>
      </c>
      <c r="B14" s="8" t="s">
        <v>177</v>
      </c>
      <c r="C14" s="8" t="s">
        <v>154</v>
      </c>
      <c r="D14" s="9">
        <v>13</v>
      </c>
      <c r="E14" s="10" t="s">
        <v>66</v>
      </c>
      <c r="F14" s="8" t="s">
        <v>176</v>
      </c>
      <c r="G14" s="8" t="s">
        <v>173</v>
      </c>
      <c r="H14" s="10" t="s">
        <v>18</v>
      </c>
      <c r="I14" s="8" t="s">
        <v>160</v>
      </c>
      <c r="J14" s="8" t="s">
        <v>175</v>
      </c>
      <c r="K14" s="8" t="s">
        <v>24</v>
      </c>
      <c r="L14" s="8" t="s">
        <v>25</v>
      </c>
      <c r="M14" s="10">
        <v>436</v>
      </c>
      <c r="N14" s="10">
        <v>380</v>
      </c>
      <c r="O14" s="10">
        <v>380</v>
      </c>
      <c r="P14" s="11">
        <v>79.228583</v>
      </c>
      <c r="Q14" s="11">
        <v>83.169123999999996</v>
      </c>
      <c r="R14" s="12">
        <f>SUM(Tabla22[[#This Row],[inversion_activos_computables_comprometida_anio_1_mill_usd]:[inversion_activos_computables_comprometida_anio_2_mill_usd]])</f>
        <v>162.397707</v>
      </c>
      <c r="S14" s="8" t="s">
        <v>14</v>
      </c>
      <c r="T14" s="8">
        <v>1048</v>
      </c>
      <c r="U14" s="13">
        <v>47118</v>
      </c>
      <c r="V14" s="14">
        <v>45873</v>
      </c>
      <c r="W14" s="14">
        <v>46050</v>
      </c>
      <c r="X14" s="14">
        <v>46111</v>
      </c>
      <c r="Y14" s="8" t="s">
        <v>67</v>
      </c>
      <c r="Z14" s="8" t="s">
        <v>142</v>
      </c>
      <c r="AA14" s="8" t="s">
        <v>206</v>
      </c>
      <c r="AB14" s="15" t="s">
        <v>172</v>
      </c>
      <c r="AC14" s="8" t="s">
        <v>225</v>
      </c>
      <c r="AD14" s="16"/>
    </row>
    <row r="15" spans="1:30" ht="409.6">
      <c r="A15" s="16" t="s">
        <v>75</v>
      </c>
      <c r="B15" s="16" t="s">
        <v>289</v>
      </c>
      <c r="C15" s="16"/>
      <c r="D15" s="17">
        <v>14</v>
      </c>
      <c r="E15" s="16" t="s">
        <v>451</v>
      </c>
      <c r="F15" s="16" t="s">
        <v>290</v>
      </c>
      <c r="G15" s="16"/>
      <c r="H15" s="18" t="s">
        <v>18</v>
      </c>
      <c r="I15" s="16" t="s">
        <v>53</v>
      </c>
      <c r="J15" s="16"/>
      <c r="K15" s="16" t="s">
        <v>19</v>
      </c>
      <c r="L15" s="16" t="s">
        <v>20</v>
      </c>
      <c r="M15" s="18">
        <v>726</v>
      </c>
      <c r="N15" s="18"/>
      <c r="O15" s="18"/>
      <c r="P15" s="11"/>
      <c r="Q15" s="11"/>
      <c r="R15" s="11"/>
      <c r="S15" s="16" t="s">
        <v>119</v>
      </c>
      <c r="T15" s="16"/>
      <c r="U15" s="13"/>
      <c r="V15" s="13">
        <v>45671</v>
      </c>
      <c r="W15" s="13"/>
      <c r="X15" s="13"/>
      <c r="Y15" s="16"/>
      <c r="Z15" s="16"/>
      <c r="AA15" s="16"/>
      <c r="AB15" s="16"/>
      <c r="AC15" s="16" t="s">
        <v>291</v>
      </c>
      <c r="AD15" s="16" t="s">
        <v>292</v>
      </c>
    </row>
    <row r="16" spans="1:30" ht="409.6">
      <c r="A16" s="8" t="s">
        <v>76</v>
      </c>
      <c r="B16" s="8" t="s">
        <v>293</v>
      </c>
      <c r="C16" s="8"/>
      <c r="D16" s="9">
        <v>15</v>
      </c>
      <c r="E16" s="10" t="s">
        <v>77</v>
      </c>
      <c r="F16" s="8" t="s">
        <v>78</v>
      </c>
      <c r="G16" s="8"/>
      <c r="H16" s="10" t="s">
        <v>18</v>
      </c>
      <c r="I16" s="8" t="s">
        <v>79</v>
      </c>
      <c r="J16" s="8"/>
      <c r="K16" s="8" t="s">
        <v>40</v>
      </c>
      <c r="L16" s="8" t="s">
        <v>11</v>
      </c>
      <c r="M16" s="10">
        <v>232</v>
      </c>
      <c r="N16" s="10"/>
      <c r="O16" s="10"/>
      <c r="P16" s="11"/>
      <c r="Q16" s="11"/>
      <c r="R16" s="12"/>
      <c r="S16" s="8" t="s">
        <v>119</v>
      </c>
      <c r="T16" s="8"/>
      <c r="U16" s="13"/>
      <c r="V16" s="14">
        <v>45874</v>
      </c>
      <c r="W16" s="14"/>
      <c r="X16" s="14"/>
      <c r="Y16" s="8"/>
      <c r="Z16" s="8"/>
      <c r="AA16" s="8"/>
      <c r="AB16" s="8"/>
      <c r="AC16" s="8" t="s">
        <v>294</v>
      </c>
      <c r="AD16" s="16" t="s">
        <v>295</v>
      </c>
    </row>
    <row r="17" spans="1:30" ht="409.6">
      <c r="A17" s="22" t="s">
        <v>80</v>
      </c>
      <c r="B17" s="22" t="s">
        <v>500</v>
      </c>
      <c r="C17" s="22" t="s">
        <v>142</v>
      </c>
      <c r="D17" s="22">
        <v>16</v>
      </c>
      <c r="E17" s="22" t="s">
        <v>296</v>
      </c>
      <c r="F17" s="22" t="s">
        <v>501</v>
      </c>
      <c r="G17" s="22" t="s">
        <v>502</v>
      </c>
      <c r="H17" s="22" t="s">
        <v>138</v>
      </c>
      <c r="I17" s="22" t="s">
        <v>297</v>
      </c>
      <c r="J17" s="22" t="s">
        <v>503</v>
      </c>
      <c r="K17" s="22" t="s">
        <v>81</v>
      </c>
      <c r="L17" s="22" t="s">
        <v>504</v>
      </c>
      <c r="M17" s="23">
        <v>12240</v>
      </c>
      <c r="N17" s="23">
        <v>12240</v>
      </c>
      <c r="O17" s="23"/>
      <c r="P17" s="23">
        <v>635</v>
      </c>
      <c r="Q17" s="23">
        <v>892</v>
      </c>
      <c r="R17" s="23">
        <f>SUM(Tabla22[[#This Row],[inversion_activos_computables_comprometida_anio_1_mill_usd]:[inversion_activos_computables_comprometida_anio_2_mill_usd]])</f>
        <v>1527</v>
      </c>
      <c r="S17" s="22" t="s">
        <v>14</v>
      </c>
      <c r="T17" s="22">
        <v>2301</v>
      </c>
      <c r="U17" s="24">
        <v>47238</v>
      </c>
      <c r="V17" s="24">
        <v>46135</v>
      </c>
      <c r="W17" s="24">
        <v>46275</v>
      </c>
      <c r="X17" s="24">
        <v>46314</v>
      </c>
      <c r="Y17" s="22" t="s">
        <v>508</v>
      </c>
      <c r="Z17" s="22" t="s">
        <v>142</v>
      </c>
      <c r="AA17" s="22" t="s">
        <v>505</v>
      </c>
      <c r="AB17" s="22" t="s">
        <v>506</v>
      </c>
      <c r="AC17" s="22" t="s">
        <v>509</v>
      </c>
      <c r="AD17" s="22" t="s">
        <v>507</v>
      </c>
    </row>
    <row r="18" spans="1:30" ht="119">
      <c r="A18" s="8" t="s">
        <v>190</v>
      </c>
      <c r="B18" s="8" t="s">
        <v>342</v>
      </c>
      <c r="C18" s="8" t="s">
        <v>154</v>
      </c>
      <c r="D18" s="9">
        <v>17</v>
      </c>
      <c r="E18" s="10" t="s">
        <v>82</v>
      </c>
      <c r="F18" s="8" t="s">
        <v>192</v>
      </c>
      <c r="G18" s="8" t="s">
        <v>193</v>
      </c>
      <c r="H18" s="10" t="s">
        <v>18</v>
      </c>
      <c r="I18" s="8" t="s">
        <v>53</v>
      </c>
      <c r="J18" s="8" t="s">
        <v>191</v>
      </c>
      <c r="K18" s="8" t="s">
        <v>83</v>
      </c>
      <c r="L18" s="8" t="s">
        <v>20</v>
      </c>
      <c r="M18" s="10">
        <v>1241</v>
      </c>
      <c r="N18" s="10">
        <v>1167</v>
      </c>
      <c r="O18" s="10">
        <v>1167</v>
      </c>
      <c r="P18" s="11">
        <v>37.967590000000001</v>
      </c>
      <c r="Q18" s="11">
        <v>58.787877000000002</v>
      </c>
      <c r="R18" s="12">
        <f>SUM(Tabla22[[#This Row],[inversion_activos_computables_comprometida_anio_1_mill_usd]:[inversion_activos_computables_comprometida_anio_2_mill_usd]])</f>
        <v>96.75546700000001</v>
      </c>
      <c r="S18" s="8" t="s">
        <v>14</v>
      </c>
      <c r="T18" s="8">
        <v>1787</v>
      </c>
      <c r="U18" s="13">
        <v>47665</v>
      </c>
      <c r="V18" s="14">
        <v>45795</v>
      </c>
      <c r="W18" s="14">
        <v>46151</v>
      </c>
      <c r="X18" s="14">
        <v>46177</v>
      </c>
      <c r="Y18" s="8" t="s">
        <v>194</v>
      </c>
      <c r="Z18" s="8" t="s">
        <v>142</v>
      </c>
      <c r="AA18" s="8" t="s">
        <v>213</v>
      </c>
      <c r="AB18" s="15" t="s">
        <v>195</v>
      </c>
      <c r="AC18" s="8" t="s">
        <v>232</v>
      </c>
      <c r="AD18" s="16"/>
    </row>
    <row r="19" spans="1:30" ht="409.6">
      <c r="A19" s="16" t="s">
        <v>84</v>
      </c>
      <c r="B19" s="16" t="s">
        <v>298</v>
      </c>
      <c r="C19" s="16"/>
      <c r="D19" s="17">
        <v>18</v>
      </c>
      <c r="E19" s="18" t="s">
        <v>85</v>
      </c>
      <c r="F19" s="16" t="s">
        <v>86</v>
      </c>
      <c r="G19" s="16"/>
      <c r="H19" s="18" t="s">
        <v>138</v>
      </c>
      <c r="I19" s="16" t="s">
        <v>147</v>
      </c>
      <c r="J19" s="16"/>
      <c r="K19" s="16" t="s">
        <v>299</v>
      </c>
      <c r="L19" s="16" t="s">
        <v>11</v>
      </c>
      <c r="M19" s="18">
        <v>380</v>
      </c>
      <c r="N19" s="18"/>
      <c r="O19" s="18"/>
      <c r="P19" s="11"/>
      <c r="Q19" s="11"/>
      <c r="R19" s="11"/>
      <c r="S19" s="16" t="s">
        <v>119</v>
      </c>
      <c r="T19" s="16"/>
      <c r="U19" s="13"/>
      <c r="V19" s="13">
        <v>45859</v>
      </c>
      <c r="W19" s="13"/>
      <c r="X19" s="13"/>
      <c r="Y19" s="16"/>
      <c r="Z19" s="16"/>
      <c r="AA19" s="16"/>
      <c r="AB19" s="16"/>
      <c r="AC19" s="16" t="s">
        <v>300</v>
      </c>
      <c r="AD19" s="16" t="s">
        <v>301</v>
      </c>
    </row>
    <row r="20" spans="1:30" ht="409.6">
      <c r="A20" s="8" t="s">
        <v>87</v>
      </c>
      <c r="B20" s="8" t="s">
        <v>302</v>
      </c>
      <c r="C20" s="8"/>
      <c r="D20" s="9">
        <v>19</v>
      </c>
      <c r="E20" s="10" t="s">
        <v>88</v>
      </c>
      <c r="F20" s="8" t="s">
        <v>89</v>
      </c>
      <c r="G20" s="8"/>
      <c r="H20" s="10" t="s">
        <v>18</v>
      </c>
      <c r="I20" s="8" t="s">
        <v>50</v>
      </c>
      <c r="J20" s="8"/>
      <c r="K20" s="8" t="s">
        <v>24</v>
      </c>
      <c r="L20" s="8" t="s">
        <v>25</v>
      </c>
      <c r="M20" s="10">
        <v>9500</v>
      </c>
      <c r="N20" s="10"/>
      <c r="O20" s="10"/>
      <c r="P20" s="11"/>
      <c r="Q20" s="11"/>
      <c r="R20" s="12"/>
      <c r="S20" s="8" t="s">
        <v>119</v>
      </c>
      <c r="T20" s="8"/>
      <c r="U20" s="13"/>
      <c r="V20" s="14">
        <v>45887</v>
      </c>
      <c r="W20" s="14"/>
      <c r="X20" s="14"/>
      <c r="Y20" s="8"/>
      <c r="Z20" s="8"/>
      <c r="AA20" s="8"/>
      <c r="AB20" s="8"/>
      <c r="AC20" s="8" t="s">
        <v>303</v>
      </c>
      <c r="AD20" s="16" t="s">
        <v>304</v>
      </c>
    </row>
    <row r="21" spans="1:30" ht="409.6">
      <c r="A21" s="16" t="s">
        <v>90</v>
      </c>
      <c r="B21" s="16" t="s">
        <v>305</v>
      </c>
      <c r="C21" s="16"/>
      <c r="D21" s="17">
        <v>20</v>
      </c>
      <c r="E21" s="18" t="s">
        <v>91</v>
      </c>
      <c r="F21" s="16" t="s">
        <v>343</v>
      </c>
      <c r="G21" s="16"/>
      <c r="H21" s="18" t="s">
        <v>138</v>
      </c>
      <c r="I21" s="16" t="s">
        <v>297</v>
      </c>
      <c r="J21" s="16"/>
      <c r="K21" s="16" t="s">
        <v>81</v>
      </c>
      <c r="L21" s="16" t="s">
        <v>11</v>
      </c>
      <c r="M21" s="10">
        <v>9500</v>
      </c>
      <c r="N21" s="18"/>
      <c r="O21" s="18"/>
      <c r="P21" s="11"/>
      <c r="Q21" s="11"/>
      <c r="R21" s="11"/>
      <c r="S21" s="16" t="s">
        <v>119</v>
      </c>
      <c r="T21" s="16"/>
      <c r="U21" s="13"/>
      <c r="V21" s="13">
        <v>46175</v>
      </c>
      <c r="W21" s="13"/>
      <c r="X21" s="13"/>
      <c r="Y21" s="16"/>
      <c r="Z21" s="16"/>
      <c r="AA21" s="16"/>
      <c r="AB21" s="16"/>
      <c r="AC21" s="16" t="s">
        <v>306</v>
      </c>
      <c r="AD21" s="16" t="s">
        <v>307</v>
      </c>
    </row>
    <row r="22" spans="1:30" ht="409.6">
      <c r="A22" s="8" t="s">
        <v>92</v>
      </c>
      <c r="B22" s="8" t="s">
        <v>308</v>
      </c>
      <c r="C22" s="8"/>
      <c r="D22" s="9">
        <v>21</v>
      </c>
      <c r="E22" s="10" t="s">
        <v>309</v>
      </c>
      <c r="F22" s="8" t="s">
        <v>310</v>
      </c>
      <c r="G22" s="8"/>
      <c r="H22" s="10" t="s">
        <v>59</v>
      </c>
      <c r="I22" s="8" t="s">
        <v>93</v>
      </c>
      <c r="J22" s="8"/>
      <c r="K22" s="8" t="s">
        <v>311</v>
      </c>
      <c r="L22" s="8" t="s">
        <v>312</v>
      </c>
      <c r="M22" s="10">
        <v>200</v>
      </c>
      <c r="N22" s="10"/>
      <c r="O22" s="10"/>
      <c r="P22" s="11"/>
      <c r="Q22" s="11"/>
      <c r="R22" s="12"/>
      <c r="S22" s="8" t="s">
        <v>119</v>
      </c>
      <c r="T22" s="8"/>
      <c r="U22" s="13"/>
      <c r="V22" s="14" t="s">
        <v>13</v>
      </c>
      <c r="W22" s="14"/>
      <c r="X22" s="14"/>
      <c r="Y22" s="8"/>
      <c r="Z22" s="8"/>
      <c r="AA22" s="8"/>
      <c r="AB22" s="8"/>
      <c r="AC22" s="8" t="s">
        <v>313</v>
      </c>
      <c r="AD22" s="16" t="s">
        <v>314</v>
      </c>
    </row>
    <row r="23" spans="1:30" ht="409.6">
      <c r="A23" s="16" t="s">
        <v>94</v>
      </c>
      <c r="B23" s="16" t="s">
        <v>315</v>
      </c>
      <c r="C23" s="16"/>
      <c r="D23" s="17">
        <v>22</v>
      </c>
      <c r="E23" s="18" t="s">
        <v>95</v>
      </c>
      <c r="F23" s="16" t="s">
        <v>96</v>
      </c>
      <c r="G23" s="16"/>
      <c r="H23" s="18" t="s">
        <v>10</v>
      </c>
      <c r="I23" s="16" t="s">
        <v>30</v>
      </c>
      <c r="J23" s="16"/>
      <c r="K23" s="16" t="s">
        <v>31</v>
      </c>
      <c r="L23" s="16" t="s">
        <v>32</v>
      </c>
      <c r="M23" s="18">
        <v>206</v>
      </c>
      <c r="N23" s="18"/>
      <c r="O23" s="18"/>
      <c r="P23" s="11"/>
      <c r="Q23" s="11"/>
      <c r="R23" s="11"/>
      <c r="S23" s="16" t="s">
        <v>119</v>
      </c>
      <c r="T23" s="16"/>
      <c r="U23" s="13"/>
      <c r="V23" s="13">
        <v>45805</v>
      </c>
      <c r="W23" s="13"/>
      <c r="X23" s="13"/>
      <c r="Y23" s="16"/>
      <c r="Z23" s="16"/>
      <c r="AA23" s="16"/>
      <c r="AB23" s="16"/>
      <c r="AC23" s="16" t="s">
        <v>316</v>
      </c>
      <c r="AD23" s="16" t="s">
        <v>317</v>
      </c>
    </row>
    <row r="24" spans="1:30" ht="238">
      <c r="A24" s="16" t="s">
        <v>489</v>
      </c>
      <c r="B24" s="16" t="s">
        <v>497</v>
      </c>
      <c r="C24" s="16" t="s">
        <v>142</v>
      </c>
      <c r="D24" s="17">
        <v>23</v>
      </c>
      <c r="E24" s="18" t="s">
        <v>97</v>
      </c>
      <c r="F24" s="16" t="s">
        <v>490</v>
      </c>
      <c r="G24" s="25" t="s">
        <v>491</v>
      </c>
      <c r="H24" s="18" t="s">
        <v>138</v>
      </c>
      <c r="I24" s="16" t="s">
        <v>297</v>
      </c>
      <c r="J24" s="16" t="s">
        <v>492</v>
      </c>
      <c r="K24" s="16" t="s">
        <v>81</v>
      </c>
      <c r="L24" s="16" t="s">
        <v>493</v>
      </c>
      <c r="M24" s="18">
        <v>6432</v>
      </c>
      <c r="N24" s="18">
        <v>6432</v>
      </c>
      <c r="O24" s="18"/>
      <c r="P24" s="11">
        <v>1182.281332</v>
      </c>
      <c r="Q24" s="11">
        <v>577.93346799999995</v>
      </c>
      <c r="R24" s="11">
        <f>SUM(Tabla22[[#This Row],[inversion_activos_computables_comprometida_anio_1_mill_usd]:[inversion_activos_computables_comprometida_anio_2_mill_usd]])</f>
        <v>1760.2148</v>
      </c>
      <c r="S24" s="16" t="s">
        <v>14</v>
      </c>
      <c r="T24" s="16">
        <v>7900</v>
      </c>
      <c r="U24" s="13">
        <v>46630</v>
      </c>
      <c r="V24" s="13">
        <v>46101</v>
      </c>
      <c r="W24" s="13">
        <v>46274</v>
      </c>
      <c r="X24" s="13">
        <v>46304</v>
      </c>
      <c r="Y24" s="16" t="s">
        <v>498</v>
      </c>
      <c r="Z24" s="16" t="s">
        <v>142</v>
      </c>
      <c r="AA24" s="16" t="s">
        <v>494</v>
      </c>
      <c r="AB24" s="26" t="s">
        <v>495</v>
      </c>
      <c r="AC24" s="16" t="s">
        <v>499</v>
      </c>
      <c r="AD24" s="16" t="s">
        <v>496</v>
      </c>
    </row>
    <row r="25" spans="1:30" ht="409.6">
      <c r="A25" s="16" t="s">
        <v>98</v>
      </c>
      <c r="B25" s="16" t="s">
        <v>318</v>
      </c>
      <c r="C25" s="16"/>
      <c r="D25" s="17">
        <v>24</v>
      </c>
      <c r="E25" s="18" t="s">
        <v>319</v>
      </c>
      <c r="F25" s="16" t="s">
        <v>99</v>
      </c>
      <c r="G25" s="16"/>
      <c r="H25" s="18" t="s">
        <v>18</v>
      </c>
      <c r="I25" s="16" t="s">
        <v>53</v>
      </c>
      <c r="J25" s="16"/>
      <c r="K25" s="16" t="s">
        <v>19</v>
      </c>
      <c r="L25" s="16" t="s">
        <v>20</v>
      </c>
      <c r="M25" s="18">
        <v>4245</v>
      </c>
      <c r="N25" s="18"/>
      <c r="O25" s="18"/>
      <c r="P25" s="11"/>
      <c r="Q25" s="11"/>
      <c r="R25" s="11"/>
      <c r="S25" s="16" t="s">
        <v>119</v>
      </c>
      <c r="T25" s="16"/>
      <c r="U25" s="13"/>
      <c r="V25" s="13">
        <v>46081</v>
      </c>
      <c r="W25" s="13"/>
      <c r="X25" s="13"/>
      <c r="Y25" s="16"/>
      <c r="Z25" s="16"/>
      <c r="AA25" s="16"/>
      <c r="AB25" s="16"/>
      <c r="AC25" s="16" t="s">
        <v>320</v>
      </c>
      <c r="AD25" s="16" t="s">
        <v>321</v>
      </c>
    </row>
    <row r="26" spans="1:30" ht="306">
      <c r="A26" s="8" t="s">
        <v>239</v>
      </c>
      <c r="B26" s="8" t="s">
        <v>244</v>
      </c>
      <c r="C26" s="8" t="s">
        <v>142</v>
      </c>
      <c r="D26" s="9">
        <v>25</v>
      </c>
      <c r="E26" s="10" t="s">
        <v>100</v>
      </c>
      <c r="F26" s="8" t="s">
        <v>101</v>
      </c>
      <c r="G26" s="8" t="s">
        <v>243</v>
      </c>
      <c r="H26" s="10" t="s">
        <v>138</v>
      </c>
      <c r="I26" s="10" t="s">
        <v>138</v>
      </c>
      <c r="J26" s="8" t="s">
        <v>242</v>
      </c>
      <c r="K26" s="8" t="s">
        <v>81</v>
      </c>
      <c r="L26" s="8" t="s">
        <v>11</v>
      </c>
      <c r="M26" s="10">
        <v>4522</v>
      </c>
      <c r="N26" s="10">
        <v>4521</v>
      </c>
      <c r="O26" s="10">
        <v>4521</v>
      </c>
      <c r="P26" s="11">
        <v>521</v>
      </c>
      <c r="Q26" s="11">
        <v>578</v>
      </c>
      <c r="R26" s="12">
        <f>SUM(Tabla22[[#This Row],[inversion_activos_computables_comprometida_anio_1_mill_usd]:[inversion_activos_computables_comprometida_anio_2_mill_usd]])</f>
        <v>1099</v>
      </c>
      <c r="S26" s="8" t="s">
        <v>14</v>
      </c>
      <c r="T26" s="8">
        <v>1733</v>
      </c>
      <c r="U26" s="13">
        <v>48030</v>
      </c>
      <c r="V26" s="14">
        <v>46090</v>
      </c>
      <c r="W26" s="14">
        <v>46198</v>
      </c>
      <c r="X26" s="14">
        <v>46224</v>
      </c>
      <c r="Y26" s="8" t="s">
        <v>275</v>
      </c>
      <c r="Z26" s="8" t="s">
        <v>142</v>
      </c>
      <c r="AA26" s="8" t="s">
        <v>245</v>
      </c>
      <c r="AB26" s="15" t="s">
        <v>241</v>
      </c>
      <c r="AC26" s="8" t="s">
        <v>240</v>
      </c>
      <c r="AD26" s="16"/>
    </row>
    <row r="27" spans="1:30" ht="255">
      <c r="A27" s="16" t="s">
        <v>281</v>
      </c>
      <c r="B27" s="16" t="s">
        <v>283</v>
      </c>
      <c r="C27" s="16" t="s">
        <v>154</v>
      </c>
      <c r="D27" s="17">
        <v>26</v>
      </c>
      <c r="E27" s="18" t="s">
        <v>102</v>
      </c>
      <c r="F27" s="16" t="s">
        <v>282</v>
      </c>
      <c r="G27" s="16" t="s">
        <v>280</v>
      </c>
      <c r="H27" s="18" t="s">
        <v>18</v>
      </c>
      <c r="I27" s="16" t="s">
        <v>53</v>
      </c>
      <c r="J27" s="16" t="s">
        <v>157</v>
      </c>
      <c r="K27" s="16" t="s">
        <v>171</v>
      </c>
      <c r="L27" s="16" t="s">
        <v>20</v>
      </c>
      <c r="M27" s="18">
        <v>547</v>
      </c>
      <c r="N27" s="18">
        <v>547</v>
      </c>
      <c r="O27" s="18">
        <v>208</v>
      </c>
      <c r="P27" s="11">
        <v>90.916876000000002</v>
      </c>
      <c r="Q27" s="11">
        <v>7.0831239999999998</v>
      </c>
      <c r="R27" s="11">
        <f>SUM(Tabla22[[#This Row],[inversion_activos_computables_comprometida_anio_1_mill_usd]:[inversion_activos_computables_comprometida_anio_2_mill_usd]])</f>
        <v>98</v>
      </c>
      <c r="S27" s="16" t="s">
        <v>14</v>
      </c>
      <c r="T27" s="16">
        <v>2335</v>
      </c>
      <c r="U27" s="13">
        <v>47330</v>
      </c>
      <c r="V27" s="13">
        <v>45978</v>
      </c>
      <c r="W27" s="13">
        <v>46185</v>
      </c>
      <c r="X27" s="13">
        <v>46234</v>
      </c>
      <c r="Y27" s="16" t="s">
        <v>279</v>
      </c>
      <c r="Z27" s="16" t="s">
        <v>142</v>
      </c>
      <c r="AA27" s="16" t="s">
        <v>284</v>
      </c>
      <c r="AB27" s="27" t="s">
        <v>278</v>
      </c>
      <c r="AC27" s="16" t="s">
        <v>277</v>
      </c>
      <c r="AD27" s="16"/>
    </row>
    <row r="28" spans="1:30" ht="409.6">
      <c r="A28" s="8" t="s">
        <v>103</v>
      </c>
      <c r="B28" s="8" t="s">
        <v>322</v>
      </c>
      <c r="C28" s="8"/>
      <c r="D28" s="9">
        <v>27</v>
      </c>
      <c r="E28" s="10" t="s">
        <v>52</v>
      </c>
      <c r="F28" s="8" t="s">
        <v>104</v>
      </c>
      <c r="G28" s="8"/>
      <c r="H28" s="10" t="s">
        <v>18</v>
      </c>
      <c r="I28" s="8" t="s">
        <v>53</v>
      </c>
      <c r="J28" s="8"/>
      <c r="K28" s="8" t="s">
        <v>55</v>
      </c>
      <c r="L28" s="8" t="s">
        <v>20</v>
      </c>
      <c r="M28" s="10">
        <v>818</v>
      </c>
      <c r="N28" s="10"/>
      <c r="O28" s="10"/>
      <c r="P28" s="11"/>
      <c r="Q28" s="11"/>
      <c r="R28" s="12"/>
      <c r="S28" s="8" t="s">
        <v>119</v>
      </c>
      <c r="T28" s="8"/>
      <c r="U28" s="13"/>
      <c r="V28" s="14">
        <v>45758</v>
      </c>
      <c r="W28" s="14"/>
      <c r="X28" s="14"/>
      <c r="Y28" s="8"/>
      <c r="Z28" s="8"/>
      <c r="AA28" s="8"/>
      <c r="AB28" s="8"/>
      <c r="AC28" s="8" t="s">
        <v>323</v>
      </c>
      <c r="AD28" s="16" t="s">
        <v>324</v>
      </c>
    </row>
    <row r="29" spans="1:30" ht="289">
      <c r="A29" s="16" t="s">
        <v>251</v>
      </c>
      <c r="B29" s="16" t="s">
        <v>253</v>
      </c>
      <c r="C29" s="16"/>
      <c r="D29" s="17">
        <v>28</v>
      </c>
      <c r="E29" s="16" t="s">
        <v>452</v>
      </c>
      <c r="F29" s="16" t="s">
        <v>105</v>
      </c>
      <c r="G29" s="16" t="s">
        <v>250</v>
      </c>
      <c r="H29" s="18" t="s">
        <v>18</v>
      </c>
      <c r="I29" s="16" t="s">
        <v>53</v>
      </c>
      <c r="J29" s="16" t="s">
        <v>157</v>
      </c>
      <c r="K29" s="16" t="s">
        <v>55</v>
      </c>
      <c r="L29" s="16" t="s">
        <v>20</v>
      </c>
      <c r="M29" s="18">
        <v>710</v>
      </c>
      <c r="N29" s="18">
        <v>710</v>
      </c>
      <c r="O29" s="18">
        <v>594</v>
      </c>
      <c r="P29" s="11">
        <v>107.53700000000001</v>
      </c>
      <c r="Q29" s="11">
        <v>308.048</v>
      </c>
      <c r="R29" s="11">
        <f>SUM(Tabla22[[#This Row],[inversion_activos_computables_comprometida_anio_1_mill_usd]:[inversion_activos_computables_comprometida_anio_2_mill_usd]])</f>
        <v>415.58500000000004</v>
      </c>
      <c r="S29" s="16" t="s">
        <v>14</v>
      </c>
      <c r="T29" s="16">
        <v>4406</v>
      </c>
      <c r="U29" s="13">
        <v>46721</v>
      </c>
      <c r="V29" s="13">
        <v>46063</v>
      </c>
      <c r="W29" s="13">
        <v>46206</v>
      </c>
      <c r="X29" s="13">
        <v>46232</v>
      </c>
      <c r="Y29" s="16" t="s">
        <v>249</v>
      </c>
      <c r="Z29" s="16" t="s">
        <v>142</v>
      </c>
      <c r="AA29" s="16" t="s">
        <v>252</v>
      </c>
      <c r="AB29" s="19" t="s">
        <v>248</v>
      </c>
      <c r="AC29" s="16" t="s">
        <v>247</v>
      </c>
      <c r="AD29" s="16"/>
    </row>
    <row r="30" spans="1:30" ht="306">
      <c r="A30" s="8" t="s">
        <v>106</v>
      </c>
      <c r="B30" s="8" t="s">
        <v>276</v>
      </c>
      <c r="C30" s="8" t="s">
        <v>142</v>
      </c>
      <c r="D30" s="9">
        <v>29</v>
      </c>
      <c r="E30" s="10" t="s">
        <v>107</v>
      </c>
      <c r="F30" s="8" t="s">
        <v>108</v>
      </c>
      <c r="G30" s="8" t="s">
        <v>267</v>
      </c>
      <c r="H30" s="10" t="s">
        <v>18</v>
      </c>
      <c r="I30" s="8" t="s">
        <v>268</v>
      </c>
      <c r="J30" s="8" t="s">
        <v>151</v>
      </c>
      <c r="K30" s="8" t="s">
        <v>24</v>
      </c>
      <c r="L30" s="8" t="s">
        <v>25</v>
      </c>
      <c r="M30" s="10">
        <v>9737</v>
      </c>
      <c r="N30" s="10">
        <v>9737</v>
      </c>
      <c r="O30" s="10">
        <v>9025</v>
      </c>
      <c r="P30" s="11">
        <f>Tabla22[[#This Row],[inversion_activos_computables_comprometida_2_anios_mill_usd]]/2</f>
        <v>1004.6565000000001</v>
      </c>
      <c r="Q30" s="11">
        <f>Tabla22[[#This Row],[inversion_activos_computables_comprometida_2_anios_mill_usd]]/2</f>
        <v>1004.6565000000001</v>
      </c>
      <c r="R30" s="11">
        <v>2009.3130000000001</v>
      </c>
      <c r="S30" s="8" t="s">
        <v>14</v>
      </c>
      <c r="T30" s="8">
        <v>31700</v>
      </c>
      <c r="U30" s="13">
        <v>47118</v>
      </c>
      <c r="V30" s="14">
        <v>46002</v>
      </c>
      <c r="W30" s="14">
        <v>46176</v>
      </c>
      <c r="X30" s="14">
        <v>46233</v>
      </c>
      <c r="Y30" s="8" t="s">
        <v>269</v>
      </c>
      <c r="Z30" s="8" t="s">
        <v>142</v>
      </c>
      <c r="AA30" s="8" t="s">
        <v>272</v>
      </c>
      <c r="AB30" s="15" t="s">
        <v>270</v>
      </c>
      <c r="AC30" s="8" t="s">
        <v>271</v>
      </c>
      <c r="AD30" s="16"/>
    </row>
    <row r="31" spans="1:30" ht="409.6">
      <c r="A31" s="8" t="s">
        <v>109</v>
      </c>
      <c r="B31" s="8" t="s">
        <v>325</v>
      </c>
      <c r="C31" s="8"/>
      <c r="D31" s="17">
        <v>30</v>
      </c>
      <c r="E31" s="10" t="s">
        <v>326</v>
      </c>
      <c r="F31" s="16" t="s">
        <v>344</v>
      </c>
      <c r="G31" s="8"/>
      <c r="H31" s="10" t="s">
        <v>138</v>
      </c>
      <c r="I31" s="8" t="s">
        <v>297</v>
      </c>
      <c r="J31" s="8"/>
      <c r="K31" s="8" t="s">
        <v>81</v>
      </c>
      <c r="L31" s="8" t="s">
        <v>11</v>
      </c>
      <c r="M31" s="10">
        <v>1000</v>
      </c>
      <c r="N31" s="10"/>
      <c r="O31" s="10"/>
      <c r="P31" s="11"/>
      <c r="Q31" s="11"/>
      <c r="R31" s="12"/>
      <c r="S31" s="8" t="s">
        <v>119</v>
      </c>
      <c r="T31" s="8"/>
      <c r="U31" s="13"/>
      <c r="V31" s="14">
        <v>46157</v>
      </c>
      <c r="W31" s="14"/>
      <c r="X31" s="14"/>
      <c r="Y31" s="8"/>
      <c r="Z31" s="8"/>
      <c r="AA31" s="8"/>
      <c r="AB31" s="8"/>
      <c r="AC31" s="8" t="s">
        <v>327</v>
      </c>
      <c r="AD31" s="16" t="s">
        <v>328</v>
      </c>
    </row>
    <row r="32" spans="1:30" ht="119">
      <c r="A32" s="8" t="s">
        <v>153</v>
      </c>
      <c r="B32" s="8" t="s">
        <v>255</v>
      </c>
      <c r="C32" s="8" t="s">
        <v>154</v>
      </c>
      <c r="D32" s="9">
        <v>31</v>
      </c>
      <c r="E32" s="10" t="s">
        <v>72</v>
      </c>
      <c r="F32" s="8" t="s">
        <v>73</v>
      </c>
      <c r="G32" s="8" t="s">
        <v>152</v>
      </c>
      <c r="H32" s="10" t="s">
        <v>18</v>
      </c>
      <c r="I32" s="8" t="s">
        <v>50</v>
      </c>
      <c r="J32" s="8" t="s">
        <v>151</v>
      </c>
      <c r="K32" s="8" t="s">
        <v>24</v>
      </c>
      <c r="L32" s="8" t="s">
        <v>25</v>
      </c>
      <c r="M32" s="10">
        <v>2672</v>
      </c>
      <c r="N32" s="10">
        <v>2672</v>
      </c>
      <c r="O32" s="10">
        <v>2354</v>
      </c>
      <c r="P32" s="11">
        <v>33.512551049999999</v>
      </c>
      <c r="Q32" s="11">
        <v>382.26276160999998</v>
      </c>
      <c r="R32" s="12">
        <f>SUM(Tabla22[[#This Row],[inversion_activos_computables_comprometida_anio_1_mill_usd]:[inversion_activos_computables_comprometida_anio_2_mill_usd]])</f>
        <v>415.77531266</v>
      </c>
      <c r="S32" s="8" t="s">
        <v>14</v>
      </c>
      <c r="T32" s="8">
        <v>7391</v>
      </c>
      <c r="U32" s="13">
        <v>46752</v>
      </c>
      <c r="V32" s="14">
        <v>45849</v>
      </c>
      <c r="W32" s="14">
        <v>45925</v>
      </c>
      <c r="X32" s="14">
        <v>45943</v>
      </c>
      <c r="Y32" s="8" t="s">
        <v>74</v>
      </c>
      <c r="Z32" s="8" t="s">
        <v>200</v>
      </c>
      <c r="AA32" s="8" t="s">
        <v>199</v>
      </c>
      <c r="AB32" s="15" t="s">
        <v>127</v>
      </c>
      <c r="AC32" s="8" t="s">
        <v>219</v>
      </c>
      <c r="AD32" s="16"/>
    </row>
    <row r="33" spans="1:30" ht="34">
      <c r="A33" s="16" t="s">
        <v>110</v>
      </c>
      <c r="B33" s="16"/>
      <c r="C33" s="16"/>
      <c r="D33" s="17">
        <v>32</v>
      </c>
      <c r="E33" s="18" t="s">
        <v>111</v>
      </c>
      <c r="F33" s="16" t="s">
        <v>112</v>
      </c>
      <c r="G33" s="16"/>
      <c r="H33" s="18" t="s">
        <v>18</v>
      </c>
      <c r="I33" s="16" t="s">
        <v>53</v>
      </c>
      <c r="J33" s="16"/>
      <c r="K33" s="16" t="s">
        <v>19</v>
      </c>
      <c r="L33" s="16" t="s">
        <v>20</v>
      </c>
      <c r="M33" s="18">
        <v>273</v>
      </c>
      <c r="N33" s="18"/>
      <c r="O33" s="18"/>
      <c r="P33" s="11"/>
      <c r="Q33" s="11"/>
      <c r="R33" s="11"/>
      <c r="S33" s="16" t="s">
        <v>113</v>
      </c>
      <c r="T33" s="16"/>
      <c r="U33" s="13"/>
      <c r="V33" s="13">
        <v>45717</v>
      </c>
      <c r="W33" s="13"/>
      <c r="X33" s="13"/>
      <c r="Y33" s="16"/>
      <c r="Z33" s="16"/>
      <c r="AA33" s="16"/>
      <c r="AB33" s="16"/>
      <c r="AC33" s="16" t="s">
        <v>196</v>
      </c>
      <c r="AD33" s="16"/>
    </row>
    <row r="34" spans="1:30" ht="136">
      <c r="A34" s="16" t="s">
        <v>453</v>
      </c>
      <c r="B34" s="16" t="s">
        <v>458</v>
      </c>
      <c r="C34" s="16" t="s">
        <v>154</v>
      </c>
      <c r="D34" s="17">
        <v>33</v>
      </c>
      <c r="E34" s="16" t="s">
        <v>329</v>
      </c>
      <c r="F34" s="16" t="s">
        <v>454</v>
      </c>
      <c r="G34" s="16" t="s">
        <v>455</v>
      </c>
      <c r="H34" s="18" t="s">
        <v>138</v>
      </c>
      <c r="I34" s="16" t="s">
        <v>147</v>
      </c>
      <c r="J34" s="16" t="s">
        <v>457</v>
      </c>
      <c r="K34" s="16" t="s">
        <v>459</v>
      </c>
      <c r="L34" s="8" t="s">
        <v>312</v>
      </c>
      <c r="M34" s="28">
        <v>365.39866899999998</v>
      </c>
      <c r="N34" s="28">
        <v>365.39866899999998</v>
      </c>
      <c r="O34" s="18">
        <v>359.16436099999999</v>
      </c>
      <c r="P34" s="11">
        <v>121.613889</v>
      </c>
      <c r="Q34" s="11">
        <v>152.70910599999999</v>
      </c>
      <c r="R34" s="11">
        <f>SUM(Tabla22[[#This Row],[inversion_activos_computables_comprometida_anio_1_mill_usd]:[inversion_activos_computables_comprometida_anio_2_mill_usd]])</f>
        <v>274.32299499999999</v>
      </c>
      <c r="S34" s="16" t="s">
        <v>14</v>
      </c>
      <c r="T34" s="18">
        <v>792</v>
      </c>
      <c r="U34" s="13">
        <v>46661</v>
      </c>
      <c r="V34" s="13">
        <v>46099</v>
      </c>
      <c r="W34" s="13">
        <v>46231</v>
      </c>
      <c r="X34" s="13">
        <v>46260</v>
      </c>
      <c r="Y34" s="16" t="s">
        <v>460</v>
      </c>
      <c r="Z34" s="16" t="s">
        <v>142</v>
      </c>
      <c r="AA34" s="16" t="s">
        <v>461</v>
      </c>
      <c r="AB34" s="16" t="s">
        <v>456</v>
      </c>
      <c r="AC34" s="16" t="s">
        <v>462</v>
      </c>
      <c r="AD34" s="16"/>
    </row>
    <row r="35" spans="1:30" ht="409.6">
      <c r="A35" s="46" t="s">
        <v>538</v>
      </c>
      <c r="B35" s="45" t="s">
        <v>330</v>
      </c>
      <c r="C35" s="45" t="s">
        <v>154</v>
      </c>
      <c r="D35" s="47">
        <v>34</v>
      </c>
      <c r="E35" s="45" t="s">
        <v>88</v>
      </c>
      <c r="F35" s="45" t="s">
        <v>114</v>
      </c>
      <c r="G35" s="60" t="s">
        <v>537</v>
      </c>
      <c r="H35" s="45" t="s">
        <v>18</v>
      </c>
      <c r="I35" s="45" t="s">
        <v>50</v>
      </c>
      <c r="J35" s="45" t="s">
        <v>151</v>
      </c>
      <c r="K35" s="45" t="s">
        <v>55</v>
      </c>
      <c r="L35" s="45" t="s">
        <v>20</v>
      </c>
      <c r="M35" s="48">
        <v>6394</v>
      </c>
      <c r="N35" s="48">
        <v>6393.6319949999997</v>
      </c>
      <c r="O35" s="48">
        <v>3310.574165</v>
      </c>
      <c r="P35" s="48">
        <v>111.63955213</v>
      </c>
      <c r="Q35" s="48">
        <v>659.89445980000005</v>
      </c>
      <c r="R35" s="48">
        <f>SUM(Tabla22[[#This Row],[inversion_activos_computables_comprometida_anio_1_mill_usd]:[inversion_activos_computables_comprometida_anio_2_mill_usd]])</f>
        <v>771.53401193000002</v>
      </c>
      <c r="S35" s="45" t="s">
        <v>14</v>
      </c>
      <c r="T35" s="49">
        <v>8200</v>
      </c>
      <c r="U35" s="50">
        <v>47118</v>
      </c>
      <c r="V35" s="50">
        <v>45887</v>
      </c>
      <c r="W35" s="50">
        <v>46295</v>
      </c>
      <c r="X35" s="50">
        <v>46322</v>
      </c>
      <c r="Y35" s="45" t="s">
        <v>534</v>
      </c>
      <c r="Z35" s="16" t="s">
        <v>142</v>
      </c>
      <c r="AA35" s="16" t="s">
        <v>540</v>
      </c>
      <c r="AB35" s="51" t="s">
        <v>535</v>
      </c>
      <c r="AC35" s="45" t="s">
        <v>539</v>
      </c>
      <c r="AD35" s="52" t="s">
        <v>536</v>
      </c>
    </row>
    <row r="36" spans="1:30" ht="404">
      <c r="A36" s="8" t="s">
        <v>465</v>
      </c>
      <c r="B36" s="16" t="s">
        <v>469</v>
      </c>
      <c r="C36" s="8" t="s">
        <v>142</v>
      </c>
      <c r="D36" s="9">
        <v>35</v>
      </c>
      <c r="E36" s="10" t="s">
        <v>100</v>
      </c>
      <c r="F36" s="8" t="s">
        <v>115</v>
      </c>
      <c r="G36" s="16" t="s">
        <v>464</v>
      </c>
      <c r="H36" s="10" t="s">
        <v>138</v>
      </c>
      <c r="I36" s="16" t="s">
        <v>466</v>
      </c>
      <c r="J36" s="16" t="s">
        <v>466</v>
      </c>
      <c r="K36" s="8" t="s">
        <v>31</v>
      </c>
      <c r="L36" s="16" t="s">
        <v>468</v>
      </c>
      <c r="M36" s="10">
        <v>2693</v>
      </c>
      <c r="N36" s="10">
        <v>2693</v>
      </c>
      <c r="O36" s="10">
        <v>2693</v>
      </c>
      <c r="P36" s="11">
        <v>785</v>
      </c>
      <c r="Q36" s="11">
        <v>881</v>
      </c>
      <c r="R36" s="12">
        <f>SUM(Tabla22[[#This Row],[inversion_activos_computables_comprometida_anio_1_mill_usd]:[inversion_activos_computables_comprometida_anio_2_mill_usd]])</f>
        <v>1666</v>
      </c>
      <c r="S36" s="8" t="s">
        <v>14</v>
      </c>
      <c r="T36" s="8">
        <v>12500</v>
      </c>
      <c r="U36" s="13">
        <v>47453</v>
      </c>
      <c r="V36" s="14">
        <v>46133</v>
      </c>
      <c r="W36" s="14">
        <v>46237</v>
      </c>
      <c r="X36" s="14">
        <v>46272</v>
      </c>
      <c r="Y36" s="8" t="s">
        <v>467</v>
      </c>
      <c r="Z36" s="8" t="s">
        <v>142</v>
      </c>
      <c r="AA36" s="16" t="s">
        <v>472</v>
      </c>
      <c r="AB36" s="29" t="s">
        <v>470</v>
      </c>
      <c r="AC36" s="8" t="s">
        <v>471</v>
      </c>
      <c r="AD36" s="16"/>
    </row>
    <row r="37" spans="1:30" ht="204">
      <c r="A37" s="16" t="s">
        <v>233</v>
      </c>
      <c r="B37" s="16" t="s">
        <v>266</v>
      </c>
      <c r="C37" s="16" t="s">
        <v>154</v>
      </c>
      <c r="D37" s="17">
        <v>36</v>
      </c>
      <c r="E37" s="18" t="s">
        <v>116</v>
      </c>
      <c r="F37" s="16" t="s">
        <v>463</v>
      </c>
      <c r="G37" s="16" t="s">
        <v>234</v>
      </c>
      <c r="H37" s="18" t="s">
        <v>138</v>
      </c>
      <c r="I37" s="16" t="s">
        <v>147</v>
      </c>
      <c r="J37" s="16" t="s">
        <v>164</v>
      </c>
      <c r="K37" s="16" t="s">
        <v>235</v>
      </c>
      <c r="L37" s="16" t="s">
        <v>11</v>
      </c>
      <c r="M37" s="18">
        <v>1300</v>
      </c>
      <c r="N37" s="18">
        <v>1300</v>
      </c>
      <c r="O37" s="18">
        <v>955</v>
      </c>
      <c r="P37" s="11">
        <v>454</v>
      </c>
      <c r="Q37" s="11">
        <v>501</v>
      </c>
      <c r="R37" s="11">
        <f>SUM(Tabla22[[#This Row],[inversion_activos_computables_comprometida_anio_1_mill_usd]:[inversion_activos_computables_comprometida_anio_2_mill_usd]])</f>
        <v>955</v>
      </c>
      <c r="S37" s="16" t="s">
        <v>14</v>
      </c>
      <c r="T37" s="16">
        <v>2489</v>
      </c>
      <c r="U37" s="13">
        <v>46538</v>
      </c>
      <c r="V37" s="13">
        <v>45950</v>
      </c>
      <c r="W37" s="13">
        <v>46174</v>
      </c>
      <c r="X37" s="13">
        <v>46198</v>
      </c>
      <c r="Y37" s="16" t="s">
        <v>236</v>
      </c>
      <c r="Z37" s="16" t="s">
        <v>142</v>
      </c>
      <c r="AA37" s="16" t="s">
        <v>541</v>
      </c>
      <c r="AB37" s="27" t="s">
        <v>237</v>
      </c>
      <c r="AC37" s="16" t="s">
        <v>238</v>
      </c>
      <c r="AD37" s="16"/>
    </row>
    <row r="38" spans="1:30" ht="102">
      <c r="A38" s="16" t="s">
        <v>68</v>
      </c>
      <c r="B38" s="16" t="s">
        <v>264</v>
      </c>
      <c r="C38" s="16" t="s">
        <v>154</v>
      </c>
      <c r="D38" s="9">
        <v>37</v>
      </c>
      <c r="E38" s="18" t="s">
        <v>69</v>
      </c>
      <c r="F38" s="16" t="s">
        <v>70</v>
      </c>
      <c r="G38" s="16" t="s">
        <v>187</v>
      </c>
      <c r="H38" s="18" t="s">
        <v>18</v>
      </c>
      <c r="I38" s="16" t="s">
        <v>53</v>
      </c>
      <c r="J38" s="16" t="s">
        <v>157</v>
      </c>
      <c r="K38" s="16" t="s">
        <v>55</v>
      </c>
      <c r="L38" s="16" t="s">
        <v>20</v>
      </c>
      <c r="M38" s="18">
        <v>292</v>
      </c>
      <c r="N38" s="18">
        <v>217</v>
      </c>
      <c r="O38" s="18">
        <v>217</v>
      </c>
      <c r="P38" s="11">
        <v>31.112863000000001</v>
      </c>
      <c r="Q38" s="11">
        <v>51.531371</v>
      </c>
      <c r="R38" s="11">
        <f>SUM(Tabla22[[#This Row],[inversion_activos_computables_comprometida_anio_1_mill_usd]:[inversion_activos_computables_comprometida_anio_2_mill_usd]])</f>
        <v>82.644233999999997</v>
      </c>
      <c r="S38" s="16" t="s">
        <v>14</v>
      </c>
      <c r="T38" s="16">
        <v>670</v>
      </c>
      <c r="U38" s="13">
        <v>47483</v>
      </c>
      <c r="V38" s="13">
        <v>45594</v>
      </c>
      <c r="W38" s="13">
        <v>45855</v>
      </c>
      <c r="X38" s="13">
        <v>45896</v>
      </c>
      <c r="Y38" s="16" t="s">
        <v>71</v>
      </c>
      <c r="Z38" s="16" t="s">
        <v>154</v>
      </c>
      <c r="AA38" s="16" t="s">
        <v>211</v>
      </c>
      <c r="AB38" s="27" t="s">
        <v>133</v>
      </c>
      <c r="AC38" s="16" t="s">
        <v>230</v>
      </c>
      <c r="AD38" s="16"/>
    </row>
    <row r="39" spans="1:30" ht="409.6">
      <c r="A39" s="8" t="s">
        <v>117</v>
      </c>
      <c r="B39" s="8" t="s">
        <v>331</v>
      </c>
      <c r="C39" s="8"/>
      <c r="D39" s="17">
        <v>38</v>
      </c>
      <c r="E39" s="10" t="s">
        <v>332</v>
      </c>
      <c r="F39" s="8" t="s">
        <v>333</v>
      </c>
      <c r="G39" s="8"/>
      <c r="H39" s="10" t="s">
        <v>18</v>
      </c>
      <c r="I39" s="8" t="s">
        <v>53</v>
      </c>
      <c r="J39" s="8"/>
      <c r="K39" s="8" t="s">
        <v>83</v>
      </c>
      <c r="L39" s="8" t="s">
        <v>20</v>
      </c>
      <c r="M39" s="10">
        <v>1151</v>
      </c>
      <c r="N39" s="10"/>
      <c r="O39" s="10"/>
      <c r="P39" s="11"/>
      <c r="Q39" s="11"/>
      <c r="R39" s="12"/>
      <c r="S39" s="8" t="s">
        <v>119</v>
      </c>
      <c r="T39" s="8"/>
      <c r="U39" s="13"/>
      <c r="V39" s="14">
        <v>46111</v>
      </c>
      <c r="W39" s="14"/>
      <c r="X39" s="14"/>
      <c r="Y39" s="8"/>
      <c r="Z39" s="8"/>
      <c r="AA39" s="8"/>
      <c r="AB39" s="8"/>
      <c r="AC39" s="8" t="s">
        <v>334</v>
      </c>
      <c r="AD39" s="16" t="s">
        <v>335</v>
      </c>
    </row>
    <row r="40" spans="1:30" ht="409.6">
      <c r="A40" s="16" t="s">
        <v>285</v>
      </c>
      <c r="B40" s="16" t="s">
        <v>336</v>
      </c>
      <c r="C40" s="16"/>
      <c r="D40" s="9">
        <v>39</v>
      </c>
      <c r="E40" s="18" t="s">
        <v>118</v>
      </c>
      <c r="F40" s="16" t="s">
        <v>345</v>
      </c>
      <c r="G40" s="16"/>
      <c r="H40" s="18" t="s">
        <v>138</v>
      </c>
      <c r="I40" s="16" t="s">
        <v>297</v>
      </c>
      <c r="J40" s="16"/>
      <c r="K40" s="16" t="s">
        <v>81</v>
      </c>
      <c r="L40" s="16" t="s">
        <v>11</v>
      </c>
      <c r="M40" s="18">
        <v>25000</v>
      </c>
      <c r="N40" s="18"/>
      <c r="O40" s="18"/>
      <c r="P40" s="11"/>
      <c r="Q40" s="11"/>
      <c r="R40" s="11"/>
      <c r="S40" s="16" t="s">
        <v>119</v>
      </c>
      <c r="T40" s="16"/>
      <c r="U40" s="13"/>
      <c r="V40" s="13">
        <v>46157</v>
      </c>
      <c r="W40" s="13"/>
      <c r="X40" s="13"/>
      <c r="Y40" s="16"/>
      <c r="Z40" s="16"/>
      <c r="AA40" s="16"/>
      <c r="AB40" s="16"/>
      <c r="AC40" s="16" t="s">
        <v>337</v>
      </c>
      <c r="AD40" s="16" t="s">
        <v>338</v>
      </c>
    </row>
    <row r="41" spans="1:30" ht="409.6">
      <c r="A41" s="16" t="s">
        <v>286</v>
      </c>
      <c r="B41" s="16" t="s">
        <v>339</v>
      </c>
      <c r="C41" s="16"/>
      <c r="D41" s="17">
        <v>40</v>
      </c>
      <c r="E41" s="18" t="s">
        <v>287</v>
      </c>
      <c r="F41" s="16" t="s">
        <v>346</v>
      </c>
      <c r="G41" s="16"/>
      <c r="H41" s="18" t="s">
        <v>138</v>
      </c>
      <c r="I41" s="16" t="s">
        <v>297</v>
      </c>
      <c r="J41" s="16"/>
      <c r="K41" s="16" t="s">
        <v>81</v>
      </c>
      <c r="L41" s="16" t="s">
        <v>11</v>
      </c>
      <c r="M41" s="18">
        <v>5800</v>
      </c>
      <c r="N41" s="18"/>
      <c r="O41" s="18"/>
      <c r="P41" s="11"/>
      <c r="Q41" s="11"/>
      <c r="R41" s="11"/>
      <c r="S41" s="16" t="s">
        <v>119</v>
      </c>
      <c r="T41" s="30"/>
      <c r="U41" s="13"/>
      <c r="V41" s="13">
        <v>46224</v>
      </c>
      <c r="W41" s="13"/>
      <c r="X41" s="13"/>
      <c r="Y41" s="16"/>
      <c r="Z41" s="16"/>
      <c r="AA41" s="16"/>
      <c r="AB41" s="16"/>
      <c r="AC41" s="16" t="s">
        <v>340</v>
      </c>
      <c r="AD41" s="19" t="s">
        <v>341</v>
      </c>
    </row>
    <row r="42" spans="1:30" ht="409.6">
      <c r="A42" s="16" t="s">
        <v>348</v>
      </c>
      <c r="B42" s="16" t="s">
        <v>349</v>
      </c>
      <c r="C42" s="16"/>
      <c r="D42" s="17">
        <v>41</v>
      </c>
      <c r="E42" s="18" t="s">
        <v>350</v>
      </c>
      <c r="F42" s="16" t="s">
        <v>345</v>
      </c>
      <c r="G42" s="16"/>
      <c r="H42" s="18" t="s">
        <v>138</v>
      </c>
      <c r="I42" s="16" t="s">
        <v>147</v>
      </c>
      <c r="J42" s="16"/>
      <c r="K42" s="16" t="s">
        <v>299</v>
      </c>
      <c r="L42" s="16" t="s">
        <v>11</v>
      </c>
      <c r="M42" s="18">
        <v>51000</v>
      </c>
      <c r="N42" s="18"/>
      <c r="O42" s="18"/>
      <c r="P42" s="11"/>
      <c r="Q42" s="11"/>
      <c r="R42" s="11"/>
      <c r="S42" s="16" t="s">
        <v>119</v>
      </c>
      <c r="T42" s="18"/>
      <c r="U42" s="13"/>
      <c r="V42" s="13">
        <v>46247</v>
      </c>
      <c r="W42" s="13"/>
      <c r="X42" s="13"/>
      <c r="Y42" s="16"/>
      <c r="Z42" s="16"/>
      <c r="AA42" s="16"/>
      <c r="AB42" s="16"/>
      <c r="AC42" s="16" t="s">
        <v>351</v>
      </c>
      <c r="AD42" s="16" t="s">
        <v>352</v>
      </c>
    </row>
    <row r="43" spans="1:30" ht="409.6">
      <c r="A43" s="31" t="s">
        <v>481</v>
      </c>
      <c r="B43" s="31" t="s">
        <v>511</v>
      </c>
      <c r="C43" s="31" t="s">
        <v>154</v>
      </c>
      <c r="D43" s="32">
        <v>42</v>
      </c>
      <c r="E43" s="31" t="s">
        <v>473</v>
      </c>
      <c r="F43" s="31" t="s">
        <v>512</v>
      </c>
      <c r="G43" s="33" t="s">
        <v>513</v>
      </c>
      <c r="H43" s="31" t="s">
        <v>474</v>
      </c>
      <c r="I43" s="31" t="s">
        <v>514</v>
      </c>
      <c r="J43" s="31" t="s">
        <v>515</v>
      </c>
      <c r="K43" s="31" t="s">
        <v>31</v>
      </c>
      <c r="L43" s="31" t="s">
        <v>475</v>
      </c>
      <c r="M43" s="34">
        <v>1341</v>
      </c>
      <c r="N43" s="34">
        <v>1252.9261080000001</v>
      </c>
      <c r="O43" s="34">
        <v>1252.9261080000001</v>
      </c>
      <c r="P43" s="34">
        <v>19.5</v>
      </c>
      <c r="Q43" s="34">
        <v>147.75303099999999</v>
      </c>
      <c r="R43" s="34">
        <f>SUM(Tabla22[[#This Row],[inversion_activos_computables_comprometida_anio_1_mill_usd]:[inversion_activos_computables_comprometida_anio_2_mill_usd]])</f>
        <v>167.25303099999999</v>
      </c>
      <c r="S43" s="31" t="s">
        <v>14</v>
      </c>
      <c r="T43" s="32">
        <v>6225</v>
      </c>
      <c r="U43" s="35">
        <v>47026</v>
      </c>
      <c r="V43" s="35">
        <v>46181</v>
      </c>
      <c r="W43" s="35">
        <v>46294</v>
      </c>
      <c r="X43" s="35">
        <v>46317</v>
      </c>
      <c r="Y43" s="31" t="s">
        <v>516</v>
      </c>
      <c r="Z43" s="31" t="s">
        <v>142</v>
      </c>
      <c r="AA43" s="31" t="s">
        <v>517</v>
      </c>
      <c r="AB43" s="36" t="s">
        <v>529</v>
      </c>
      <c r="AC43" s="16" t="s">
        <v>530</v>
      </c>
      <c r="AD43" s="31" t="s">
        <v>531</v>
      </c>
    </row>
    <row r="44" spans="1:30" ht="409.6">
      <c r="A44" s="37" t="s">
        <v>482</v>
      </c>
      <c r="B44" s="37" t="s">
        <v>476</v>
      </c>
      <c r="C44" s="37"/>
      <c r="D44" s="37">
        <v>43</v>
      </c>
      <c r="E44" s="37" t="s">
        <v>116</v>
      </c>
      <c r="F44" s="37"/>
      <c r="G44" s="37"/>
      <c r="H44" s="37" t="s">
        <v>138</v>
      </c>
      <c r="I44" s="37" t="s">
        <v>297</v>
      </c>
      <c r="J44" s="37"/>
      <c r="K44" s="37" t="s">
        <v>477</v>
      </c>
      <c r="L44" s="37" t="s">
        <v>478</v>
      </c>
      <c r="M44" s="37">
        <v>1200</v>
      </c>
      <c r="N44" s="37"/>
      <c r="O44" s="37"/>
      <c r="P44" s="37"/>
      <c r="Q44" s="37"/>
      <c r="R44" s="37"/>
      <c r="S44" s="37" t="s">
        <v>119</v>
      </c>
      <c r="T44" s="37"/>
      <c r="U44" s="38"/>
      <c r="V44" s="39">
        <v>46296</v>
      </c>
      <c r="W44" s="38"/>
      <c r="X44" s="38"/>
      <c r="Y44" s="37"/>
      <c r="Z44" s="37"/>
      <c r="AA44" s="37"/>
      <c r="AB44" s="37"/>
      <c r="AC44" s="37" t="s">
        <v>479</v>
      </c>
      <c r="AD44" s="37" t="s">
        <v>480</v>
      </c>
    </row>
    <row r="45" spans="1:30" ht="340">
      <c r="A45" s="40" t="s">
        <v>483</v>
      </c>
      <c r="B45" s="40" t="s">
        <v>484</v>
      </c>
      <c r="C45" s="40"/>
      <c r="D45" s="41">
        <v>44</v>
      </c>
      <c r="E45" s="42" t="s">
        <v>485</v>
      </c>
      <c r="F45" s="40" t="s">
        <v>483</v>
      </c>
      <c r="G45" s="40"/>
      <c r="H45" s="42" t="s">
        <v>18</v>
      </c>
      <c r="I45" s="40" t="s">
        <v>50</v>
      </c>
      <c r="J45" s="40"/>
      <c r="K45" s="40" t="s">
        <v>24</v>
      </c>
      <c r="L45" s="40" t="s">
        <v>486</v>
      </c>
      <c r="M45" s="42">
        <v>2437</v>
      </c>
      <c r="N45" s="42"/>
      <c r="O45" s="42"/>
      <c r="P45" s="43"/>
      <c r="Q45" s="43"/>
      <c r="R45" s="43"/>
      <c r="S45" s="40" t="s">
        <v>119</v>
      </c>
      <c r="T45" s="40"/>
      <c r="U45" s="44"/>
      <c r="V45" s="44"/>
      <c r="W45" s="44"/>
      <c r="X45" s="44"/>
      <c r="Y45" s="40"/>
      <c r="Z45" s="40"/>
      <c r="AA45" s="40"/>
      <c r="AB45" s="40"/>
      <c r="AC45" s="40" t="s">
        <v>488</v>
      </c>
      <c r="AD45" s="40" t="s">
        <v>487</v>
      </c>
    </row>
    <row r="46" spans="1:30" ht="409.6">
      <c r="A46" s="46" t="s">
        <v>518</v>
      </c>
      <c r="B46" s="45" t="s">
        <v>519</v>
      </c>
      <c r="C46" s="45"/>
      <c r="D46" s="47">
        <v>45</v>
      </c>
      <c r="E46" s="45" t="s">
        <v>520</v>
      </c>
      <c r="F46" s="45" t="s">
        <v>521</v>
      </c>
      <c r="G46" s="45"/>
      <c r="H46" s="45" t="s">
        <v>138</v>
      </c>
      <c r="I46" s="45" t="s">
        <v>147</v>
      </c>
      <c r="J46" s="45"/>
      <c r="K46" s="45" t="s">
        <v>81</v>
      </c>
      <c r="L46" s="45" t="s">
        <v>522</v>
      </c>
      <c r="M46" s="48"/>
      <c r="N46" s="48"/>
      <c r="O46" s="48"/>
      <c r="P46" s="48"/>
      <c r="Q46" s="48"/>
      <c r="R46" s="48"/>
      <c r="S46" s="45" t="s">
        <v>119</v>
      </c>
      <c r="T46" s="49"/>
      <c r="U46" s="50"/>
      <c r="V46" s="50"/>
      <c r="W46" s="50"/>
      <c r="X46" s="50"/>
      <c r="Y46" s="45"/>
      <c r="Z46" s="45"/>
      <c r="AA46" s="45"/>
      <c r="AB46" s="45"/>
      <c r="AC46" s="45" t="s">
        <v>523</v>
      </c>
      <c r="AD46" s="52" t="s">
        <v>524</v>
      </c>
    </row>
    <row r="47" spans="1:30" ht="409.6">
      <c r="A47" s="53" t="s">
        <v>525</v>
      </c>
      <c r="B47" s="54" t="s">
        <v>526</v>
      </c>
      <c r="C47" s="54"/>
      <c r="D47" s="55">
        <v>46</v>
      </c>
      <c r="E47" s="54" t="s">
        <v>520</v>
      </c>
      <c r="F47" s="54" t="s">
        <v>527</v>
      </c>
      <c r="G47" s="54"/>
      <c r="H47" s="54" t="s">
        <v>138</v>
      </c>
      <c r="I47" s="54" t="s">
        <v>147</v>
      </c>
      <c r="J47" s="54"/>
      <c r="K47" s="54" t="s">
        <v>168</v>
      </c>
      <c r="L47" s="54" t="s">
        <v>528</v>
      </c>
      <c r="M47" s="56"/>
      <c r="N47" s="56"/>
      <c r="O47" s="56"/>
      <c r="P47" s="56"/>
      <c r="Q47" s="56"/>
      <c r="R47" s="56"/>
      <c r="S47" s="54" t="s">
        <v>119</v>
      </c>
      <c r="T47" s="57"/>
      <c r="U47" s="58"/>
      <c r="V47" s="58"/>
      <c r="W47" s="58"/>
      <c r="X47" s="58"/>
      <c r="Y47" s="54"/>
      <c r="Z47" s="54"/>
      <c r="AA47" s="54"/>
      <c r="AB47" s="54"/>
      <c r="AC47" s="54" t="s">
        <v>523</v>
      </c>
      <c r="AD47" s="59" t="s">
        <v>524</v>
      </c>
    </row>
  </sheetData>
  <phoneticPr fontId="4"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 ref="AB36" r:id="rId23" xr:uid="{58EFA9E3-F5DD-7244-B47A-5A35FCC395E1}"/>
    <hyperlink ref="AB24" r:id="rId24" xr:uid="{8FAD3DFA-392A-1846-AD7B-B2015845524B}"/>
    <hyperlink ref="AB43" r:id="rId25" xr:uid="{90467AD9-CA04-EB46-8DEF-7CFABD5FF4FC}"/>
    <hyperlink ref="AB35" r:id="rId26" xr:uid="{137286A0-EDBB-1A49-8504-B971F04F806C}"/>
  </hyperlinks>
  <pageMargins left="0.7" right="0.7" top="0.75" bottom="0.75" header="0.3" footer="0.3"/>
  <drawing r:id="rId27"/>
  <legacyDrawing r:id="rId28"/>
  <tableParts count="1">
    <tablePart r:id="rId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ht="32">
      <c r="A1" s="2" t="s">
        <v>374</v>
      </c>
      <c r="B1" s="2" t="s">
        <v>448</v>
      </c>
      <c r="C1" s="2" t="s">
        <v>449</v>
      </c>
      <c r="D1" s="2" t="s">
        <v>377</v>
      </c>
      <c r="E1" s="2" t="s">
        <v>378</v>
      </c>
      <c r="F1" s="2" t="s">
        <v>379</v>
      </c>
    </row>
    <row r="2" spans="1:6" ht="16">
      <c r="A2" s="1">
        <v>1</v>
      </c>
      <c r="B2" s="1" t="s">
        <v>357</v>
      </c>
      <c r="C2" s="1" t="s">
        <v>167</v>
      </c>
      <c r="D2" s="1" t="s">
        <v>380</v>
      </c>
      <c r="E2" s="1" t="s">
        <v>381</v>
      </c>
      <c r="F2" s="1" t="s">
        <v>382</v>
      </c>
    </row>
    <row r="3" spans="1:6" ht="16">
      <c r="A3" s="1">
        <v>2</v>
      </c>
      <c r="B3" s="1" t="s">
        <v>358</v>
      </c>
      <c r="C3" s="1" t="s">
        <v>383</v>
      </c>
      <c r="D3" s="1" t="s">
        <v>380</v>
      </c>
      <c r="E3" s="1" t="s">
        <v>381</v>
      </c>
      <c r="F3" s="1" t="s">
        <v>384</v>
      </c>
    </row>
    <row r="4" spans="1:6" ht="16">
      <c r="A4" s="1">
        <v>3</v>
      </c>
      <c r="B4" s="1" t="s">
        <v>359</v>
      </c>
      <c r="C4" s="1" t="s">
        <v>385</v>
      </c>
      <c r="D4" s="1" t="s">
        <v>386</v>
      </c>
      <c r="E4" s="1" t="s">
        <v>387</v>
      </c>
      <c r="F4" s="1" t="s">
        <v>388</v>
      </c>
    </row>
    <row r="5" spans="1:6" ht="16">
      <c r="A5" s="1">
        <v>4</v>
      </c>
      <c r="B5" s="1" t="s">
        <v>0</v>
      </c>
      <c r="C5" s="1" t="s">
        <v>389</v>
      </c>
      <c r="D5" s="1" t="s">
        <v>390</v>
      </c>
      <c r="E5" s="1" t="s">
        <v>381</v>
      </c>
      <c r="F5" s="1" t="s">
        <v>391</v>
      </c>
    </row>
    <row r="6" spans="1:6" ht="16">
      <c r="A6" s="1">
        <v>5</v>
      </c>
      <c r="B6" s="1" t="s">
        <v>1</v>
      </c>
      <c r="C6" s="1" t="s">
        <v>392</v>
      </c>
      <c r="D6" s="1" t="s">
        <v>380</v>
      </c>
      <c r="E6" s="1" t="s">
        <v>381</v>
      </c>
      <c r="F6" s="1" t="s">
        <v>393</v>
      </c>
    </row>
    <row r="7" spans="1:6" ht="16">
      <c r="A7" s="1">
        <v>6</v>
      </c>
      <c r="B7" s="1" t="s">
        <v>166</v>
      </c>
      <c r="C7" s="1" t="s">
        <v>394</v>
      </c>
      <c r="D7" s="1" t="s">
        <v>380</v>
      </c>
      <c r="E7" s="1" t="s">
        <v>381</v>
      </c>
      <c r="F7" s="1" t="s">
        <v>395</v>
      </c>
    </row>
    <row r="8" spans="1:6" ht="16">
      <c r="A8" s="1">
        <v>7</v>
      </c>
      <c r="B8" s="1" t="s">
        <v>360</v>
      </c>
      <c r="C8" s="1" t="s">
        <v>139</v>
      </c>
      <c r="D8" s="1" t="s">
        <v>380</v>
      </c>
      <c r="E8" s="1" t="s">
        <v>381</v>
      </c>
      <c r="F8" s="1" t="s">
        <v>396</v>
      </c>
    </row>
    <row r="9" spans="1:6" ht="16">
      <c r="A9" s="1">
        <v>8</v>
      </c>
      <c r="B9" s="1" t="s">
        <v>2</v>
      </c>
      <c r="C9" s="1" t="s">
        <v>397</v>
      </c>
      <c r="D9" s="1" t="s">
        <v>386</v>
      </c>
      <c r="E9" s="1" t="s">
        <v>381</v>
      </c>
      <c r="F9" s="1" t="s">
        <v>398</v>
      </c>
    </row>
    <row r="10" spans="1:6" ht="16">
      <c r="A10" s="1">
        <v>9</v>
      </c>
      <c r="B10" s="1" t="s">
        <v>3</v>
      </c>
      <c r="C10" s="1" t="s">
        <v>399</v>
      </c>
      <c r="D10" s="1" t="s">
        <v>386</v>
      </c>
      <c r="E10" s="1" t="s">
        <v>381</v>
      </c>
      <c r="F10" s="1" t="s">
        <v>400</v>
      </c>
    </row>
    <row r="11" spans="1:6" ht="16">
      <c r="A11" s="1">
        <v>10</v>
      </c>
      <c r="B11" s="1" t="s">
        <v>361</v>
      </c>
      <c r="C11" s="1" t="s">
        <v>401</v>
      </c>
      <c r="D11" s="1" t="s">
        <v>380</v>
      </c>
      <c r="E11" s="1" t="s">
        <v>381</v>
      </c>
      <c r="F11" s="1" t="s">
        <v>402</v>
      </c>
    </row>
    <row r="12" spans="1:6" ht="16">
      <c r="A12" s="1">
        <v>11</v>
      </c>
      <c r="B12" s="1" t="s">
        <v>4</v>
      </c>
      <c r="C12" s="1" t="s">
        <v>403</v>
      </c>
      <c r="D12" s="1" t="s">
        <v>404</v>
      </c>
      <c r="E12" s="1" t="s">
        <v>381</v>
      </c>
      <c r="F12" s="1" t="s">
        <v>405</v>
      </c>
    </row>
    <row r="13" spans="1:6" ht="16">
      <c r="A13" s="1">
        <v>12</v>
      </c>
      <c r="B13" s="1" t="s">
        <v>5</v>
      </c>
      <c r="C13" s="1" t="s">
        <v>406</v>
      </c>
      <c r="D13" s="1" t="s">
        <v>380</v>
      </c>
      <c r="E13" s="1" t="s">
        <v>381</v>
      </c>
      <c r="F13" s="1" t="s">
        <v>407</v>
      </c>
    </row>
    <row r="14" spans="1:6" ht="16">
      <c r="A14" s="1">
        <v>13</v>
      </c>
      <c r="B14" s="1" t="s">
        <v>362</v>
      </c>
      <c r="C14" s="1" t="s">
        <v>408</v>
      </c>
      <c r="D14" s="1" t="s">
        <v>409</v>
      </c>
      <c r="E14" s="1" t="s">
        <v>410</v>
      </c>
      <c r="F14" s="1" t="s">
        <v>411</v>
      </c>
    </row>
    <row r="15" spans="1:6" ht="16">
      <c r="A15" s="1">
        <v>14</v>
      </c>
      <c r="B15" s="1" t="s">
        <v>363</v>
      </c>
      <c r="C15" s="1" t="s">
        <v>412</v>
      </c>
      <c r="D15" s="1" t="s">
        <v>409</v>
      </c>
      <c r="E15" s="1" t="s">
        <v>410</v>
      </c>
      <c r="F15" s="1" t="s">
        <v>413</v>
      </c>
    </row>
    <row r="16" spans="1:6" ht="16">
      <c r="A16" s="1">
        <v>15</v>
      </c>
      <c r="B16" s="3" t="s">
        <v>364</v>
      </c>
      <c r="C16" s="1" t="s">
        <v>414</v>
      </c>
      <c r="D16" s="1" t="s">
        <v>409</v>
      </c>
      <c r="E16" s="1" t="s">
        <v>410</v>
      </c>
      <c r="F16" s="1" t="s">
        <v>415</v>
      </c>
    </row>
    <row r="17" spans="1:6" ht="16">
      <c r="A17" s="1">
        <v>16</v>
      </c>
      <c r="B17" s="3" t="s">
        <v>365</v>
      </c>
      <c r="C17" s="1" t="s">
        <v>416</v>
      </c>
      <c r="D17" s="1" t="s">
        <v>409</v>
      </c>
      <c r="E17" s="1" t="s">
        <v>410</v>
      </c>
      <c r="F17" s="1" t="s">
        <v>417</v>
      </c>
    </row>
    <row r="18" spans="1:6" ht="16">
      <c r="A18" s="1">
        <v>17</v>
      </c>
      <c r="B18" s="1" t="s">
        <v>366</v>
      </c>
      <c r="C18" s="1" t="s">
        <v>418</v>
      </c>
      <c r="D18" s="1" t="s">
        <v>409</v>
      </c>
      <c r="E18" s="1" t="s">
        <v>410</v>
      </c>
      <c r="F18" s="1" t="s">
        <v>419</v>
      </c>
    </row>
    <row r="19" spans="1:6" ht="32">
      <c r="A19" s="1">
        <v>18</v>
      </c>
      <c r="B19" s="3" t="s">
        <v>367</v>
      </c>
      <c r="C19" s="1" t="s">
        <v>420</v>
      </c>
      <c r="D19" s="1" t="s">
        <v>409</v>
      </c>
      <c r="E19" s="1" t="s">
        <v>410</v>
      </c>
      <c r="F19" s="1" t="s">
        <v>421</v>
      </c>
    </row>
    <row r="20" spans="1:6" ht="16">
      <c r="A20" s="1">
        <v>19</v>
      </c>
      <c r="B20" s="1" t="s">
        <v>368</v>
      </c>
      <c r="C20" s="1" t="s">
        <v>122</v>
      </c>
      <c r="D20" s="1" t="s">
        <v>386</v>
      </c>
      <c r="E20" s="1" t="s">
        <v>381</v>
      </c>
      <c r="F20" s="1" t="s">
        <v>422</v>
      </c>
    </row>
    <row r="21" spans="1:6" ht="16">
      <c r="A21" s="1">
        <v>20</v>
      </c>
      <c r="B21" s="1" t="s">
        <v>369</v>
      </c>
      <c r="C21" s="1" t="s">
        <v>423</v>
      </c>
      <c r="D21" s="1" t="s">
        <v>409</v>
      </c>
      <c r="E21" s="1" t="s">
        <v>424</v>
      </c>
      <c r="F21" s="1" t="s">
        <v>425</v>
      </c>
    </row>
    <row r="22" spans="1:6" ht="16">
      <c r="A22" s="1">
        <v>21</v>
      </c>
      <c r="B22" s="3" t="s">
        <v>356</v>
      </c>
      <c r="C22" s="1" t="s">
        <v>426</v>
      </c>
      <c r="D22" s="1" t="s">
        <v>427</v>
      </c>
      <c r="E22" s="1" t="s">
        <v>427</v>
      </c>
      <c r="F22" s="1" t="s">
        <v>428</v>
      </c>
    </row>
    <row r="23" spans="1:6" ht="16">
      <c r="A23" s="1">
        <v>22</v>
      </c>
      <c r="B23" s="1" t="s">
        <v>6</v>
      </c>
      <c r="C23" s="1" t="s">
        <v>429</v>
      </c>
      <c r="D23" s="1" t="s">
        <v>427</v>
      </c>
      <c r="E23" s="1" t="s">
        <v>427</v>
      </c>
      <c r="F23" s="1" t="s">
        <v>430</v>
      </c>
    </row>
    <row r="24" spans="1:6" ht="16">
      <c r="A24" s="1">
        <v>23</v>
      </c>
      <c r="B24" s="3" t="s">
        <v>149</v>
      </c>
      <c r="C24" s="1" t="s">
        <v>431</v>
      </c>
      <c r="D24" s="1" t="s">
        <v>427</v>
      </c>
      <c r="E24" s="1" t="s">
        <v>427</v>
      </c>
      <c r="F24" s="1" t="s">
        <v>432</v>
      </c>
    </row>
    <row r="25" spans="1:6" ht="16">
      <c r="A25" s="1">
        <v>24</v>
      </c>
      <c r="B25" s="1" t="s">
        <v>150</v>
      </c>
      <c r="C25" s="1" t="s">
        <v>433</v>
      </c>
      <c r="D25" s="1" t="s">
        <v>427</v>
      </c>
      <c r="E25" s="1" t="s">
        <v>427</v>
      </c>
      <c r="F25" s="1" t="s">
        <v>434</v>
      </c>
    </row>
    <row r="26" spans="1:6" ht="16">
      <c r="A26" s="1">
        <v>25</v>
      </c>
      <c r="B26" s="1" t="s">
        <v>7</v>
      </c>
      <c r="C26" s="1" t="s">
        <v>435</v>
      </c>
      <c r="D26" s="1" t="s">
        <v>380</v>
      </c>
      <c r="E26" s="1" t="s">
        <v>381</v>
      </c>
      <c r="F26" s="1" t="s">
        <v>436</v>
      </c>
    </row>
    <row r="27" spans="1:6" ht="32">
      <c r="A27" s="1">
        <v>26</v>
      </c>
      <c r="B27" s="1" t="s">
        <v>370</v>
      </c>
      <c r="C27" s="1" t="s">
        <v>437</v>
      </c>
      <c r="D27" s="1" t="s">
        <v>386</v>
      </c>
      <c r="E27" s="1" t="s">
        <v>381</v>
      </c>
      <c r="F27" s="1" t="s">
        <v>438</v>
      </c>
    </row>
    <row r="28" spans="1:6" ht="16">
      <c r="A28" s="1">
        <v>27</v>
      </c>
      <c r="B28" s="1" t="s">
        <v>371</v>
      </c>
      <c r="C28" s="1" t="s">
        <v>439</v>
      </c>
      <c r="D28" s="1" t="s">
        <v>380</v>
      </c>
      <c r="E28" s="1" t="s">
        <v>381</v>
      </c>
      <c r="F28" s="1" t="s">
        <v>440</v>
      </c>
    </row>
    <row r="29" spans="1:6" ht="16">
      <c r="A29" s="1">
        <v>28</v>
      </c>
      <c r="B29" s="1" t="s">
        <v>124</v>
      </c>
      <c r="C29" s="3" t="s">
        <v>447</v>
      </c>
      <c r="D29" s="1" t="s">
        <v>441</v>
      </c>
      <c r="E29" s="1" t="s">
        <v>381</v>
      </c>
      <c r="F29" s="1" t="s">
        <v>442</v>
      </c>
    </row>
    <row r="30" spans="1:6" ht="16">
      <c r="A30" s="1">
        <v>29</v>
      </c>
      <c r="B30" s="1" t="s">
        <v>372</v>
      </c>
      <c r="C30" s="1" t="s">
        <v>143</v>
      </c>
      <c r="D30" s="1" t="s">
        <v>380</v>
      </c>
      <c r="E30" s="1" t="s">
        <v>381</v>
      </c>
      <c r="F30" s="1" t="s">
        <v>443</v>
      </c>
    </row>
    <row r="31" spans="1:6" ht="16">
      <c r="A31" s="1">
        <v>30</v>
      </c>
      <c r="B31" s="1" t="s">
        <v>373</v>
      </c>
      <c r="C31" s="1" t="s">
        <v>444</v>
      </c>
      <c r="D31" s="1" t="s">
        <v>445</v>
      </c>
      <c r="E31" s="1" t="s">
        <v>381</v>
      </c>
      <c r="F31" s="1" t="s">
        <v>446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4">
      <c r="A1" s="4" t="s">
        <v>374</v>
      </c>
      <c r="B1" s="4" t="s">
        <v>375</v>
      </c>
      <c r="C1" s="4" t="s">
        <v>376</v>
      </c>
    </row>
    <row r="2" spans="1:3" ht="16">
      <c r="A2" s="5">
        <v>1</v>
      </c>
      <c r="B2" s="5" t="s">
        <v>167</v>
      </c>
      <c r="C2" s="5" t="s">
        <v>357</v>
      </c>
    </row>
    <row r="3" spans="1:3" ht="48">
      <c r="A3" s="5">
        <v>2</v>
      </c>
      <c r="B3" s="5" t="s">
        <v>155</v>
      </c>
      <c r="C3" s="5" t="s">
        <v>358</v>
      </c>
    </row>
    <row r="4" spans="1:3" ht="112">
      <c r="A4" s="5">
        <v>3</v>
      </c>
      <c r="B4" s="5" t="s">
        <v>246</v>
      </c>
      <c r="C4" s="5" t="s">
        <v>359</v>
      </c>
    </row>
    <row r="5" spans="1:3" ht="16">
      <c r="A5" s="5">
        <v>4</v>
      </c>
      <c r="B5" s="5" t="s">
        <v>0</v>
      </c>
      <c r="C5" s="5" t="s">
        <v>0</v>
      </c>
    </row>
    <row r="6" spans="1:3" ht="16">
      <c r="A6" s="5">
        <v>5</v>
      </c>
      <c r="B6" s="5" t="s">
        <v>1</v>
      </c>
      <c r="C6" s="5" t="s">
        <v>1</v>
      </c>
    </row>
    <row r="7" spans="1:3" ht="32">
      <c r="A7" s="5">
        <v>6</v>
      </c>
      <c r="B7" s="5" t="s">
        <v>166</v>
      </c>
      <c r="C7" s="5" t="s">
        <v>166</v>
      </c>
    </row>
    <row r="8" spans="1:3" ht="16">
      <c r="A8" s="5">
        <v>7</v>
      </c>
      <c r="B8" s="5" t="s">
        <v>139</v>
      </c>
      <c r="C8" s="5" t="s">
        <v>360</v>
      </c>
    </row>
    <row r="9" spans="1:3" ht="16">
      <c r="A9" s="5">
        <v>8</v>
      </c>
      <c r="B9" s="5" t="s">
        <v>2</v>
      </c>
      <c r="C9" s="5" t="s">
        <v>2</v>
      </c>
    </row>
    <row r="10" spans="1:3" ht="16">
      <c r="A10" s="5">
        <v>9</v>
      </c>
      <c r="B10" s="5" t="s">
        <v>3</v>
      </c>
      <c r="C10" s="5" t="s">
        <v>3</v>
      </c>
    </row>
    <row r="11" spans="1:3" ht="64">
      <c r="A11" s="5">
        <v>10</v>
      </c>
      <c r="B11" s="5" t="s">
        <v>183</v>
      </c>
      <c r="C11" s="5" t="s">
        <v>361</v>
      </c>
    </row>
    <row r="12" spans="1:3" ht="16">
      <c r="A12" s="5">
        <v>11</v>
      </c>
      <c r="B12" s="5" t="s">
        <v>4</v>
      </c>
      <c r="C12" s="5" t="s">
        <v>4</v>
      </c>
    </row>
    <row r="13" spans="1:3" ht="32">
      <c r="A13" s="5">
        <v>12</v>
      </c>
      <c r="B13" s="5" t="s">
        <v>5</v>
      </c>
      <c r="C13" s="5" t="s">
        <v>5</v>
      </c>
    </row>
    <row r="14" spans="1:3" ht="48">
      <c r="A14" s="5">
        <v>13</v>
      </c>
      <c r="B14" s="5" t="s">
        <v>120</v>
      </c>
      <c r="C14" s="5" t="s">
        <v>362</v>
      </c>
    </row>
    <row r="15" spans="1:3" ht="64">
      <c r="A15" s="5">
        <v>14</v>
      </c>
      <c r="B15" s="5" t="s">
        <v>273</v>
      </c>
      <c r="C15" s="5" t="s">
        <v>363</v>
      </c>
    </row>
    <row r="16" spans="1:3" ht="64">
      <c r="A16" s="5">
        <v>15</v>
      </c>
      <c r="B16" s="5" t="s">
        <v>121</v>
      </c>
      <c r="C16" s="5" t="s">
        <v>364</v>
      </c>
    </row>
    <row r="17" spans="1:3" ht="96">
      <c r="A17" s="5">
        <v>16</v>
      </c>
      <c r="B17" s="5" t="s">
        <v>353</v>
      </c>
      <c r="C17" s="5" t="s">
        <v>365</v>
      </c>
    </row>
    <row r="18" spans="1:3" ht="96">
      <c r="A18" s="5">
        <v>17</v>
      </c>
      <c r="B18" s="5" t="s">
        <v>354</v>
      </c>
      <c r="C18" s="5" t="s">
        <v>366</v>
      </c>
    </row>
    <row r="19" spans="1:3" ht="96">
      <c r="A19" s="5">
        <v>18</v>
      </c>
      <c r="B19" s="5" t="s">
        <v>355</v>
      </c>
      <c r="C19" s="5" t="s">
        <v>367</v>
      </c>
    </row>
    <row r="20" spans="1:3" ht="48">
      <c r="A20" s="5">
        <v>19</v>
      </c>
      <c r="B20" s="5" t="s">
        <v>122</v>
      </c>
      <c r="C20" s="5" t="s">
        <v>368</v>
      </c>
    </row>
    <row r="21" spans="1:3" ht="64">
      <c r="A21" s="5">
        <v>20</v>
      </c>
      <c r="B21" s="5" t="s">
        <v>216</v>
      </c>
      <c r="C21" s="5" t="s">
        <v>369</v>
      </c>
    </row>
    <row r="22" spans="1:3" ht="80">
      <c r="A22" s="5">
        <v>21</v>
      </c>
      <c r="B22" s="5" t="s">
        <v>356</v>
      </c>
      <c r="C22" s="5" t="s">
        <v>356</v>
      </c>
    </row>
    <row r="23" spans="1:3" ht="32">
      <c r="A23" s="5">
        <v>22</v>
      </c>
      <c r="B23" s="5" t="s">
        <v>6</v>
      </c>
      <c r="C23" s="5" t="s">
        <v>6</v>
      </c>
    </row>
    <row r="24" spans="1:3" ht="32">
      <c r="A24" s="5">
        <v>23</v>
      </c>
      <c r="B24" s="5" t="s">
        <v>149</v>
      </c>
      <c r="C24" s="5" t="s">
        <v>149</v>
      </c>
    </row>
    <row r="25" spans="1:3" ht="32">
      <c r="A25" s="5">
        <v>24</v>
      </c>
      <c r="B25" s="5" t="s">
        <v>150</v>
      </c>
      <c r="C25" s="5" t="s">
        <v>150</v>
      </c>
    </row>
    <row r="26" spans="1:3" ht="32">
      <c r="A26" s="5">
        <v>25</v>
      </c>
      <c r="B26" s="5" t="s">
        <v>7</v>
      </c>
      <c r="C26" s="5" t="s">
        <v>7</v>
      </c>
    </row>
    <row r="27" spans="1:3" ht="64">
      <c r="A27" s="5">
        <v>26</v>
      </c>
      <c r="B27" s="5" t="s">
        <v>214</v>
      </c>
      <c r="C27" s="5" t="s">
        <v>370</v>
      </c>
    </row>
    <row r="28" spans="1:3" ht="64">
      <c r="A28" s="5">
        <v>27</v>
      </c>
      <c r="B28" s="5" t="s">
        <v>215</v>
      </c>
      <c r="C28" s="5" t="s">
        <v>371</v>
      </c>
    </row>
    <row r="29" spans="1:3" ht="16">
      <c r="A29" s="5">
        <v>28</v>
      </c>
      <c r="B29" s="5" t="s">
        <v>124</v>
      </c>
      <c r="C29" s="5" t="s">
        <v>124</v>
      </c>
    </row>
    <row r="30" spans="1:3" ht="16">
      <c r="A30" s="5">
        <v>29</v>
      </c>
      <c r="B30" s="5" t="s">
        <v>143</v>
      </c>
      <c r="C30" s="5" t="s">
        <v>372</v>
      </c>
    </row>
    <row r="31" spans="1:3" ht="32">
      <c r="A31" s="5">
        <v>30</v>
      </c>
      <c r="B31" s="5" t="s">
        <v>288</v>
      </c>
      <c r="C31" s="5" t="s">
        <v>373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2026-10-27T19:04:38Z</dcterms:modified>
</cp:coreProperties>
</file>