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lucasordonez/Investigación/Tasks JCH/RIGI/base de datos/"/>
    </mc:Choice>
  </mc:AlternateContent>
  <xr:revisionPtr revIDLastSave="0" documentId="13_ncr:1_{2F104212-E614-8743-9668-39DE40512F1F}" xr6:coauthVersionLast="47" xr6:coauthVersionMax="47" xr10:uidLastSave="{00000000-0000-0000-0000-000000000000}"/>
  <bookViews>
    <workbookView xWindow="2920" yWindow="600" windowWidth="65860" windowHeight="28200" xr2:uid="{00000000-000D-0000-FFFF-FFFF00000000}"/>
  </bookViews>
  <sheets>
    <sheet name="Proyectos" sheetId="7" r:id="rId1"/>
    <sheet name="Diccionario" sheetId="6" r:id="rId2"/>
    <sheet name="Variable_Anterior"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 i="7" l="1"/>
  <c r="R24" i="7"/>
  <c r="R45" i="7"/>
  <c r="R34" i="7"/>
  <c r="Q30" i="7"/>
  <c r="P30" i="7"/>
  <c r="Q6" i="7"/>
  <c r="P6" i="7"/>
  <c r="R2" i="7"/>
  <c r="R3" i="7"/>
  <c r="R4" i="7"/>
  <c r="R5" i="7"/>
  <c r="R7" i="7"/>
  <c r="R8" i="7"/>
  <c r="R9" i="7"/>
  <c r="R10" i="7"/>
  <c r="R11" i="7"/>
  <c r="R12" i="7"/>
  <c r="R13" i="7"/>
  <c r="R14" i="7"/>
  <c r="R15" i="7"/>
  <c r="R16" i="7"/>
  <c r="R18" i="7"/>
  <c r="R19" i="7"/>
  <c r="R20" i="7"/>
  <c r="R21" i="7"/>
  <c r="R22" i="7"/>
  <c r="R23" i="7"/>
  <c r="R25" i="7"/>
  <c r="R26" i="7"/>
  <c r="R27" i="7"/>
  <c r="R28" i="7"/>
  <c r="R29" i="7"/>
  <c r="R31" i="7"/>
  <c r="R32" i="7"/>
  <c r="R33" i="7"/>
  <c r="R35" i="7"/>
  <c r="R36" i="7"/>
  <c r="R37" i="7"/>
  <c r="R38" i="7"/>
  <c r="R39" i="7"/>
  <c r="R40" i="7"/>
  <c r="R41" i="7"/>
  <c r="R4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Lucas Sebastian Ordoñez</author>
    <author>tc={AB094BBD-1C2D-6F4B-8934-933C032D5033}</author>
    <author>tc={1C1F2559-7EE3-DF4D-8661-353CB183F945}</author>
    <author>tc={81907ACA-C719-C348-AD5F-B563992B5DE3}</author>
  </authors>
  <commentList>
    <comment ref="R6" authorId="0" shapeId="0" xr:uid="{5A3BA268-5477-EF45-BE3E-3A24B50ECC5B}">
      <text>
        <r>
          <rPr>
            <b/>
            <sz val="10"/>
            <color rgb="FF000000"/>
            <rFont val="Tahoma"/>
            <family val="2"/>
          </rPr>
          <t>Lucas Sebastian Ordoñez:</t>
        </r>
        <r>
          <rPr>
            <sz val="10"/>
            <color rgb="FF000000"/>
            <rFont val="Tahoma"/>
            <family val="2"/>
          </rPr>
          <t xml:space="preserve">
</t>
        </r>
        <r>
          <rPr>
            <sz val="10"/>
            <color rgb="FF000000"/>
            <rFont val="Tahoma"/>
            <family val="2"/>
          </rPr>
          <t xml:space="preserve">La resolución del proyecto solo reporta el monto total de los dos primeros año. Lo divido en partes iguales
</t>
        </r>
      </text>
    </comment>
    <comment ref="R11" authorId="1" shapeId="0" xr:uid="{AB094BBD-1C2D-6F4B-8934-933C032D5033}">
      <text>
        <t>[Comentario encadenado]
Tu versión de Excel te permite leer este comentario encadenado; sin embargo, las ediciones que se apliquen se quitarán si el archivo se abre en una versión más reciente de Excel. Más información: https://go.microsoft.com/fwlink/?linkid=870924
Comentario:
    En la resolución del proyecto aclara que se va a poner en el primer año solamente</t>
      </text>
    </comment>
    <comment ref="O24" authorId="2" shapeId="0" xr:uid="{1C1F2559-7EE3-DF4D-8661-353CB183F94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No se incluye en la resolución
</t>
      </text>
    </comment>
    <comment ref="R30" authorId="3" shapeId="0" xr:uid="{81907ACA-C719-C348-AD5F-B563992B5DE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la resolución del proyecto se da el valor total de los dos primeros años. Divido en partes iguales los dos primeros años
</t>
      </text>
    </comment>
  </commentList>
</comments>
</file>

<file path=xl/sharedStrings.xml><?xml version="1.0" encoding="utf-8"?>
<sst xmlns="http://schemas.openxmlformats.org/spreadsheetml/2006/main" count="880" uniqueCount="519">
  <si>
    <t>id_proyecto</t>
  </si>
  <si>
    <t>empresa</t>
  </si>
  <si>
    <t>sector</t>
  </si>
  <si>
    <t>subsector</t>
  </si>
  <si>
    <t>provincia</t>
  </si>
  <si>
    <t>localidad_region</t>
  </si>
  <si>
    <t>fecha_presentacion</t>
  </si>
  <si>
    <t>norma_aprobacion</t>
  </si>
  <si>
    <t>TGS (Argentina)</t>
  </si>
  <si>
    <t>Transportadora de Gas del Sur S.A. Sucursal Dedicada 1</t>
  </si>
  <si>
    <t>Energía</t>
  </si>
  <si>
    <t>Patagonia</t>
  </si>
  <si>
    <t>Res. 676/2026</t>
  </si>
  <si>
    <t>No informado</t>
  </si>
  <si>
    <t>Aprobado</t>
  </si>
  <si>
    <t>Diablillos</t>
  </si>
  <si>
    <t>AbraSilver Resource Corp. (Canadá)</t>
  </si>
  <si>
    <t>Pacific Rim Mining Corporation Argentina S.A.</t>
  </si>
  <si>
    <t>Minería</t>
  </si>
  <si>
    <t>Salta</t>
  </si>
  <si>
    <t>NOA</t>
  </si>
  <si>
    <t>Res. 562/2026</t>
  </si>
  <si>
    <t>Aisa Group (Canadá)</t>
  </si>
  <si>
    <t>Minas Argentinas S.A.</t>
  </si>
  <si>
    <t>San Juan</t>
  </si>
  <si>
    <t>Cuyo</t>
  </si>
  <si>
    <t>Res. 6/2026</t>
  </si>
  <si>
    <t>Parque Eólico Olavarría</t>
  </si>
  <si>
    <t>PCR S.A. (Argentina); Acindar (ArcelorMittal) (Argentina)</t>
  </si>
  <si>
    <t>Generación Eléctrica Argentina Renovable I SA (GEAR)</t>
  </si>
  <si>
    <t>Eólico</t>
  </si>
  <si>
    <t>Buenos Aires</t>
  </si>
  <si>
    <t>Centro</t>
  </si>
  <si>
    <t>Res. 1254/2025</t>
  </si>
  <si>
    <t>Parque Solar El Quemado y Anexos</t>
  </si>
  <si>
    <t>Luz del Campo S.A.</t>
  </si>
  <si>
    <t>Mendoza</t>
  </si>
  <si>
    <t>Res. 1/2025</t>
  </si>
  <si>
    <t>Proyecto de Licuefacción de Gas Natural (FLNG - Southern Energy)</t>
  </si>
  <si>
    <t>Pan American Energy (PAE) (Argentina); YPF S.A. (Argentina); Pampa Energía (Argentina); Harbour Energy (Reino Unido); Golar LNG (Noruega)</t>
  </si>
  <si>
    <t>Río Negro</t>
  </si>
  <si>
    <t>Res. 559/2025</t>
  </si>
  <si>
    <t>Proyecto Siderúrgico Argentino Sidersa</t>
  </si>
  <si>
    <t>Sidersa S.A. (Argentina)</t>
  </si>
  <si>
    <t>Sidersa Acería S.D.E.</t>
  </si>
  <si>
    <t>Siderurgia</t>
  </si>
  <si>
    <t>Res. 1028/2025</t>
  </si>
  <si>
    <t>PSJ Cobre Mendocino</t>
  </si>
  <si>
    <t>Zonda Metals GmBH (Suiza); Alberdi Energy (Argentina)</t>
  </si>
  <si>
    <t>Minera San Jorge SA</t>
  </si>
  <si>
    <t>Cobre</t>
  </si>
  <si>
    <t>Res. 801/2026</t>
  </si>
  <si>
    <t>Rio Tinto (Reino Unido)</t>
  </si>
  <si>
    <t>Rincón Mining Pty Ltd.</t>
  </si>
  <si>
    <t>Litio</t>
  </si>
  <si>
    <t>Res. 735/2025</t>
  </si>
  <si>
    <t>Catamarca</t>
  </si>
  <si>
    <t>Res. 431/2026</t>
  </si>
  <si>
    <t>Terminales y Servicios S.A. (Argentina)</t>
  </si>
  <si>
    <t>Terminal Timbúes S.A.</t>
  </si>
  <si>
    <t>Infraestructura</t>
  </si>
  <si>
    <t>Portuario</t>
  </si>
  <si>
    <t>Santa Fe</t>
  </si>
  <si>
    <t>Res. 1842/2025</t>
  </si>
  <si>
    <t>YPF S.A. (Argentina) · Pan American Energy (PAE) (Argentina) · Vista Energy (Argentina) · Pampa Energía (Argentina) · Pluspetrol (Argentina) · Chevron (Estados Unidos) · Tecpetrol S.A. (Argentina) · Shell (Reino Unido) · Gas y Petróleo del Neuquén S.A. (Argentina)</t>
  </si>
  <si>
    <t>VMOS S.A.</t>
  </si>
  <si>
    <t>Res. 302/2025</t>
  </si>
  <si>
    <t>Barrick Gold Corporation (Canadá); Shandong Gold (China)</t>
  </si>
  <si>
    <t>Res. 413/2026</t>
  </si>
  <si>
    <t>Hombre Muerto Oeste (HMW)</t>
  </si>
  <si>
    <t>Galan Lithium Ltd (Australia)</t>
  </si>
  <si>
    <t>Galan Litio SA</t>
  </si>
  <si>
    <t>Res. 1271/2025</t>
  </si>
  <si>
    <t>McEwen Copper Inc. (Canadá)</t>
  </si>
  <si>
    <t>Andes Corporación Minera SA (ACM)</t>
  </si>
  <si>
    <t>Res. 1553/2025</t>
  </si>
  <si>
    <t>Ángeles Argentina</t>
  </si>
  <si>
    <t>Arenas de Cercanía</t>
  </si>
  <si>
    <t>Minera del Mojotoro (Argentina); Minera Orosmayo (Argentina)</t>
  </si>
  <si>
    <t>Arenas de Cercanía S.A.</t>
  </si>
  <si>
    <t>Arena</t>
  </si>
  <si>
    <t>Bajo del Choique–La Invernada</t>
  </si>
  <si>
    <t>Neuquén</t>
  </si>
  <si>
    <t>Ganfeng (China); Lithium Argentina (Suiza); JEMSE (Argentina)</t>
  </si>
  <si>
    <t>Jujuy</t>
  </si>
  <si>
    <t>Duplicar Norte</t>
  </si>
  <si>
    <t>Oldelval (Argentina)</t>
  </si>
  <si>
    <t>Oleoductos del Valle SDE</t>
  </si>
  <si>
    <t>El Pachón</t>
  </si>
  <si>
    <t>Glencore (Suiza)</t>
  </si>
  <si>
    <t>Glencore Pachón S.A.</t>
  </si>
  <si>
    <t>El Trapial</t>
  </si>
  <si>
    <t>Chevron (Estados Unidos)</t>
  </si>
  <si>
    <t>NCA+ (Nuevo Central Argentino)</t>
  </si>
  <si>
    <t>Ferroviario</t>
  </si>
  <si>
    <t>Parque Eólico La Rinconada</t>
  </si>
  <si>
    <t>Tenaris (Argentina)</t>
  </si>
  <si>
    <t>Vientos La Rinconada S.A.U.</t>
  </si>
  <si>
    <t>Tecpetrol S.A. (Argentina); Gas y Petróleo del Neuquén S.A. (Argentina)</t>
  </si>
  <si>
    <t>Pozuelos Pastos Grandes (PPG)</t>
  </si>
  <si>
    <t>Lithea Inc.</t>
  </si>
  <si>
    <t>Pampa Energía (Argentina)</t>
  </si>
  <si>
    <t>Sucursal Dedicada Midstream RDA</t>
  </si>
  <si>
    <t>Posco (Corea del Sur)</t>
  </si>
  <si>
    <t>Sal de Vida</t>
  </si>
  <si>
    <t>Sal de Vida S.A.</t>
  </si>
  <si>
    <t>LIEX S.A.</t>
  </si>
  <si>
    <t>Vicuña</t>
  </si>
  <si>
    <t>BHP (Australia); Lundin Mining (Canadá)</t>
  </si>
  <si>
    <t>Vicuña Argentina S.A.</t>
  </si>
  <si>
    <t>Loma Jarillosa Este y Puesto Silva Oeste</t>
  </si>
  <si>
    <t>Mariana</t>
  </si>
  <si>
    <t>Ganfeng (China)</t>
  </si>
  <si>
    <t>Litio Minera Argentina S.A.</t>
  </si>
  <si>
    <t>Rechazado</t>
  </si>
  <si>
    <t>Minera Agua Rica (MARA)</t>
  </si>
  <si>
    <t>Minera Agua Rica LLC Sucursal Argentina</t>
  </si>
  <si>
    <t>Fértil Pampa S.A.U.</t>
  </si>
  <si>
    <t>Pan American Energy (PAE) (Argentina)</t>
  </si>
  <si>
    <t>Jama Solaroz</t>
  </si>
  <si>
    <t>YPF S.A. (Argentina)</t>
  </si>
  <si>
    <t>En evaluación</t>
  </si>
  <si>
    <t>Monto (mill. USD)</t>
  </si>
  <si>
    <t>Activos Computables (mill. USD)</t>
  </si>
  <si>
    <t>Estado administrativo</t>
  </si>
  <si>
    <t>https://www.boletinoficial.gob.ar/detalleAviso/primera/319374/20250108</t>
  </si>
  <si>
    <t>link_norma</t>
  </si>
  <si>
    <t>https://www.boletinoficial.gob.ar/detalleAviso/primera/322830/20250321</t>
  </si>
  <si>
    <t>https://www.boletinoficial.gob.ar/detalleAviso/primera/324772/20250505</t>
  </si>
  <si>
    <t>https://www.boletinoficial.gob.ar/detalleAviso/primera/332807/20251014</t>
  </si>
  <si>
    <t>https://www.boletinoficial.gob.ar/detalleAviso/primera/326364/20250603</t>
  </si>
  <si>
    <t>https://www.boletinoficial.gob.ar/detalleAviso/primera/342483/20260528</t>
  </si>
  <si>
    <t>https://www.boletinoficial.gob.ar/detalleAviso/primera/337468/20260115</t>
  </si>
  <si>
    <t>https://www.boletinoficial.gob.ar/detalleAviso/primera/341877/20260513</t>
  </si>
  <si>
    <t>https://www.boletinoficial.gob.ar/detalleAviso/primera/341756/20260511</t>
  </si>
  <si>
    <t>https://www.boletinoficial.gob.ar/detalleAviso/primera/330470/20250828</t>
  </si>
  <si>
    <t>https://www.boletinoficial.gob.ar/detalleAviso/primera/340329/20260406</t>
  </si>
  <si>
    <t>https://www.boletinoficial.gob.ar/detalleAviso/primera/330400/20250827</t>
  </si>
  <si>
    <t>https://www.boletinoficial.gob.ar/detalleAviso/primera/334814/20251120</t>
  </si>
  <si>
    <t>https://www.boletinoficial.gob.ar/detalleAviso/primera/328690/20250722</t>
  </si>
  <si>
    <t>Petróleo y Gas</t>
  </si>
  <si>
    <t>CUIT</t>
  </si>
  <si>
    <t> 30-71858062-1</t>
  </si>
  <si>
    <t>Procesamiento, fraccionamiento, compresión y licuefacción</t>
  </si>
  <si>
    <t>Sí</t>
  </si>
  <si>
    <t>Fuentes</t>
  </si>
  <si>
    <t>Licuefacción</t>
  </si>
  <si>
    <t>Southern Energy S.A.</t>
  </si>
  <si>
    <t>Transporte y almacenamiento de hidrocarburos líquidos y gaseosos</t>
  </si>
  <si>
    <t>Midstream</t>
  </si>
  <si>
    <t>Vaca Muerta Oleoducto Sur (VMOS)</t>
  </si>
  <si>
    <t>fecha_adhesion_rigi</t>
  </si>
  <si>
    <t>fecha_publicacion_bo</t>
  </si>
  <si>
    <t>Minerales de primera y segunda categoría del Código de Minería de la Nación (excluidos potasio y litio)</t>
  </si>
  <si>
    <t>30-70952278-3</t>
  </si>
  <si>
    <t>Proyecto Los Azules</t>
  </si>
  <si>
    <t>No</t>
  </si>
  <si>
    <t>Descripción_del_proyecto</t>
  </si>
  <si>
    <t>30-70708643-9</t>
  </si>
  <si>
    <t>Proyecto Rincón</t>
  </si>
  <si>
    <t>Potasio y Litio</t>
  </si>
  <si>
    <t>30-69228382-8</t>
  </si>
  <si>
    <t>Desarrollo, extracción y procesamiento de minerales sulfurados de cobre con recuperación de oro como subproducto del yacimiento “San Jorge”, y contempla la construcción y operación de una mina a cielo abierto y una planta concentradora basada en técnicas de flotación convencional</t>
  </si>
  <si>
    <t>Oro y Plata</t>
  </si>
  <si>
    <t>30-71915462-6</t>
  </si>
  <si>
    <t>Carbonatos Profundos (DCP)</t>
  </si>
  <si>
    <t>Ampliación del Tramo I del Gasoducto Perito Francisco Pascasio Moreno (GPM)</t>
  </si>
  <si>
    <t>Transporte y Almacenamiento</t>
  </si>
  <si>
    <t>30-71881250-6</t>
  </si>
  <si>
    <t>titular_proyecto</t>
  </si>
  <si>
    <t>VPU</t>
  </si>
  <si>
    <t>Neuquén; Buenos Aires</t>
  </si>
  <si>
    <t>Desde Tratayén, Neuquén, hasta Salliqueló, Buenos Aires</t>
  </si>
  <si>
    <t>30-67305977-1</t>
  </si>
  <si>
    <t>Salta; Catamarca</t>
  </si>
  <si>
    <t>https://www.boletinoficial.gob.ar/detalleAviso/primera/340249/20260401</t>
  </si>
  <si>
    <t>30-71906943-2</t>
  </si>
  <si>
    <t>Ampliación Fases 8 y 9 del Sistema de Lixiviación en Valle de Mina Veladero</t>
  </si>
  <si>
    <t>Minerales de primera y segunda categoría (excluidos potasio y litio)</t>
  </si>
  <si>
    <t>Minera Andina del Sol S.R.L. Sucursal Dedicada 1 (“MAS-SD1”)</t>
  </si>
  <si>
    <t>Proyecto de ampliación comprende la construcción, puesta en marcha y operación de nuevas plataformas del sistema de lixiviación en el valle, definido como el sistema de procesamiento de mineral en la mina Veladero donde se apila el material y se irriga con soluciones para lixiviar el oro y la plata de la mina Veladero, denominadas “Fase 8 y Fase 9”, así como la posterior exportación de los metales preciosos (bullion doré, una aleación de oro y plata) contenidos en el mineral</t>
  </si>
  <si>
    <t>33-71879284-9</t>
  </si>
  <si>
    <t>actividades de industrialización y/o procesamiento del mineral de hierro, el acero y/o sus aleaciones, para la obtención de productos en formas primarias y/o productos elaborados</t>
  </si>
  <si>
    <t>30-71891156-3</t>
  </si>
  <si>
    <t>Proyecto Terminal Multipropósito Timbúes</t>
  </si>
  <si>
    <t> estructuras físicas, redes y/o sistemas públicos y/o privados, necesarios para el correcto funcionamiento de la logística y el transporte fluvial y portuario</t>
  </si>
  <si>
    <t>actividad_subsector_resolución_MECON</t>
  </si>
  <si>
    <t>30-71592816-3</t>
  </si>
  <si>
    <t>Minera del Altiplano S.A. Sucursal Dedicada</t>
  </si>
  <si>
    <t>30-71906845-2</t>
  </si>
  <si>
    <t>30-71899846-4</t>
  </si>
  <si>
    <t>30-71765521-0</t>
  </si>
  <si>
    <t>Energio Solar</t>
  </si>
  <si>
    <t>Ampliación Caucharí Olaroz</t>
  </si>
  <si>
    <t>Minerales de primera categoría del Código de Minería de la Nación (potasio y litio)</t>
  </si>
  <si>
    <t>Minera Exar Sucursal Dedicada (“EXARSD”)</t>
  </si>
  <si>
    <t>30-71924298-3</t>
  </si>
  <si>
    <t>Res. 825/2026</t>
  </si>
  <si>
    <t>https://www.boletinoficial.gob.ar/detalleAviso/primera/342818/20260605</t>
  </si>
  <si>
    <t>Globaris</t>
  </si>
  <si>
    <t>La resolución para la planta de Licuefacción de Gas Natural (FLNG) describe la instalación de una planta flotante de GNL y conexión a gasoductos, sin señalar etapas previas ni ampliaciones.</t>
  </si>
  <si>
    <t>La resolución del oleoducto VMOS describe la construcción de un oleoducto de 437 km y terminales de exportación para incrementar la capacidad de transporte de petróleo; no se mencionan ampliaciones de un oleoducto existente.</t>
  </si>
  <si>
    <t>La norma del Proyecto Los Azules menciona que el objetivo es completar el desarrollo (factibilidad y permisos) y construir la mina y planta, lo que sugiere que hay estudios y permisos previos; sin embargo, no se identifica claramente la existencia de una operación activa previa.</t>
  </si>
  <si>
    <t>Ambiguo</t>
  </si>
  <si>
    <t>La resolución del Proyecto Rincón detalla que la producción provendrá tanto de la planta Rincón 3000, con capacidad de 3.000 t de LCE, como de la construcción y operación de dos plantas “Rincón Full Potential” de 25.000 t cada una, mostrando que el proyecto amplía una planta existente.</t>
  </si>
  <si>
    <t>La norma del proyecto PSJ Cobre Mendocino expone la construcción y operación de una nueva mina a cielo abierto y planta concentradora en el yacimiento San Jorge, sin referencias a fases anteriores ni instalaciones preexistentes.</t>
  </si>
  <si>
    <t>La norma del proyecto Carbonatos Profundos describe la exploración de las concesiones Gualcamayo 1 y 2 y la construcción de una planta de tratamiento, sin referencias a fases previas o ampliaciones.</t>
  </si>
  <si>
    <t>La resolución describe la “Ampliación del Tramo I” del Gasoducto Perito Francisco Moreno, instalando compresoras para aumentar la capacidad de un gasoducto ya existente, lo cual prueba que el proyecto es una ampliación de un activo preexistente.</t>
  </si>
  <si>
    <t>La resolución para el proyecto Diablillos detalla la construcción de una planta de procesamiento y obras asociadas para un yacimiento de oro y plata sin mencionar expansiones ni proyectos previos.</t>
  </si>
  <si>
    <t>La resolución para las Fases 8 y 9 del Sistema de Lixiviación en Valle de Mina Veladero señala que se trata de una ampliación de un proyecto preexistente (Fases 1–7), agregando nuevas fases al sistema de lixiviación.</t>
  </si>
  <si>
    <t>El Proyecto Siderúrgico Argentino Sidersa consiste en construir y poner en marcha una nueva planta de acería y laminación de aceros largos; la resolución no indica ampliaciones de plantas existentes.</t>
  </si>
  <si>
    <t>La resolución del Proyecto Terminal Multipropósito Timbúes aprueba la construcción y operación de una nueva terminal portuaria compuesta por tres unidades logístico‑portuarias; la norma no menciona ninguna infraestructura portuaria previa.</t>
  </si>
  <si>
    <t>La resolución del Parque Eólico Olavarría describe la instalación de un nuevo parque eólico de 180 MW y obras de conexión eléctrica. Aunque se mencionan ampliaciones de la red de transporte, estas se refieren al sistema eléctrico y no evidencian un parque eólico preexistente.</t>
  </si>
  <si>
    <t>La resolución del proyecto “Expansión Fase 1B” señala que consiste en la ampliación del proyecto preexistente Fénix para incrementar la capacidad productiva de carbonato de litio en 9.500 t/año.</t>
  </si>
  <si>
    <t>La resolución del Proyecto Hombre Muerto Oeste (HMW) especifica una nueva producción de 12.000 t/año de carbonato de litio equivalente en la cuenca del Salar del Hombre Muerto; no se mencionan ampliaciones de proyectos previos.</t>
  </si>
  <si>
    <t>La resolución del Parque Solar El Quemado y Anexos indica la construcción de un parque solar fotovoltaico de 305 MW desarrollado en dos etapas; no hay menciones a instalaciones solares previas ni a ampliaciones de un proyecto existente.</t>
  </si>
  <si>
    <t>La resolución del proyecto “Ampliación Cauchari Olaroz” indica que se trata de la ampliación de un proyecto preexistente de 40.000 t/año de LCE; se construirá infraestructura adicional para incrementar la capacidad en 45.000 t/año.</t>
  </si>
  <si>
    <t>Clasificacion_preexistencia_boletin_oficial</t>
  </si>
  <si>
    <t>Justificacion_preexistencia_boletin_oficial</t>
  </si>
  <si>
    <t>Empleos (directos e indirectos)</t>
  </si>
  <si>
    <t>Res. 559/2025; Globaris; MECON</t>
  </si>
  <si>
    <t>Res. 302/2025; Globaris; MECON</t>
  </si>
  <si>
    <t>Res. 1553/2025; Globaris; MECON</t>
  </si>
  <si>
    <t>Res. 735/2025; Globaris; MECON</t>
  </si>
  <si>
    <t>Res. 801/2026; Globaris; MECON</t>
  </si>
  <si>
    <t>Res. 6/2026; Globaris; MECON</t>
  </si>
  <si>
    <t>Res. 676/2026, Globaris; MECON</t>
  </si>
  <si>
    <t>Res. 562/2026; Globaris; MECON</t>
  </si>
  <si>
    <t>Res. 413/2026; Globaris; MECON</t>
  </si>
  <si>
    <t>Res. 1028/2025; Globaris; MECON</t>
  </si>
  <si>
    <t>Res. 1842/2025; Globaris; MECON</t>
  </si>
  <si>
    <t>Res. 1254/2025; Globaris; MECON</t>
  </si>
  <si>
    <t>Res. 431/2026; Globaris; MECON</t>
  </si>
  <si>
    <t>Res. 1271/2025; Globaris; MECON</t>
  </si>
  <si>
    <t>Res. 1/2025, Globaris; MECON</t>
  </si>
  <si>
    <t>Res. 825/2026, Globaris; MECON</t>
  </si>
  <si>
    <t>Gasoducto dedicado para la Exportación de Gas Natural</t>
  </si>
  <si>
    <t> 30-71703621-9</t>
  </si>
  <si>
    <t>Río Negro; Neuquén</t>
  </si>
  <si>
    <t>Res. 873/2026</t>
  </si>
  <si>
    <t>https://www.boletinoficial.gob.ar/detalleAviso/primera/343613/20260626</t>
  </si>
  <si>
    <t>Res. 873/2026; Globaris; MECON</t>
  </si>
  <si>
    <t>Proyecto Rincón de Aranda (RDA)</t>
  </si>
  <si>
    <t>Res. 1025/2026; Globaris; MECON</t>
  </si>
  <si>
    <t>https://www.boletinoficial.gob.ar/detalleAviso/primera/344628/20260721</t>
  </si>
  <si>
    <t>Explotación y Producción de Hidrocarburos Líquidos y Gaseosos Costa Adentro</t>
  </si>
  <si>
    <t>30-71901911-7</t>
  </si>
  <si>
    <t>Consiste en: (i) la explotación de nuevos pozos hidrocarburíferos en el área RDA; (ii) el desarrollo, operación y/o prestación del servicio de tratamiento, procesamiento, almacenamiento y transporte del petróleo, gas natural y agua extraídos por PAMPA ENERGÍA SOCIEDAD ANÓNIMA - SUCURSAL DEDICADA PROYECTO RDA del área RDA y/o prestados a terceros, y la disposición final del agua incluyendo, la construcción y operación de plantas, oleoductos y gasoductos; y en (iii) la exportación y/o comercialización de los hidrocarburos y sus derivados obtenidos de la explotación de los nuevos pozos a desarrollarse en el área RDA.</t>
  </si>
  <si>
    <t>Se identifican signos fuertes de preexistencia. El Proyecto Rincón de Aranda no surge con la resolución publicada el 21/07/2026. Antes de esa fecha existían antecedentes societarios, operativos, financieros y ambientales: Pampa Energía adquirió el control total del bloque en 2023; la etapa inicial del plan aprobado se declara iniciada el 08/07/2024; en 2024 ya existían EIAs y audiencias públicas para la CPF, oleoductos y gasoductos asociados; en 2025 la empresa ya informaba inversiones, solicitud RIGI, producción y pozos en operación. Por lo tanto, corresponde clasificarlo como proyecto preexistente al anuncio/aprobación oficial, aunque formalizado y ampliado bajo el RIGI como PEELP.</t>
  </si>
  <si>
    <t>Proyectos de exportación estratégica de largo plazo (PEELP)</t>
  </si>
  <si>
    <t>Res. 1153/2026; Globaris; MECON</t>
  </si>
  <si>
    <t>https://www.boletinoficial.gob.ar/detalleAviso/primera/345075/20260729</t>
  </si>
  <si>
    <t>Res. 1153/2026</t>
  </si>
  <si>
    <t>30-71929244-1</t>
  </si>
  <si>
    <t>Proyecto de la Sucursal Dedicada de Liex S.A.</t>
  </si>
  <si>
    <t>Se identifican signos muy fuertes de preexistencia. El proyecto aprobado bajo RIGI corresponde a LIEX S.A. Sucursal Dedicada en el Salar Tres Quebradas —3Q—, Catamarca. Aunque la Resolución 1153/2026 aprueba una inversión en activos computables por USD 594,136 millones para una planta de 40.000 t/año de carbonato de litio, el proyecto 3Q existía públicamente desde años previos: tuvo evaluación económica preliminar en 2017, estudio de factibilidad en 2021, acuerdo provincial ratificado por ley en 2022, adquisición por Zijin/LIEX en 2022, infraestructura eléctrica asociada tramitada desde 2023–2024 y primera fase en producción desde septiembre de 2025.</t>
  </si>
  <si>
    <t>Construcción y operación de una planta de proceso y de la infraestructura asociada, diseñadas para alcanzar una capacidad de producción de cuarenta mil (40.000) toneladas anuales de carbonato de litio mediante el método de extracción directa</t>
  </si>
  <si>
    <t>Instalación de una planta flotante de licuefacción de gas natural para obtener Gas Natural Licuado (GNL)</t>
  </si>
  <si>
    <t>Consiste en la construcción y desarrollo de un oleoducto, Iincrementar la capacidad de transporte y almacenamiento de petróleo crudo viabilizando la exportación de hidrocarburos provenientes de la formación “Vaca Muerta”</t>
  </si>
  <si>
    <t>Desarrollo (factibilidad, permisos) y la construcción de mina, planta e infraestructura asociada para extraer y procesar cátodos de cobre</t>
  </si>
  <si>
    <t>Extracción directa de litio, nanofiltración y pretratamiento de salmuera que posibilitarán la extracción de litio sin la necesidad de concentración previa en piletas de evaporación, lo que reducirá significativamente el impacto ambiental y la alteración del paisaje, a la vez que también permitirá reducir la generación de residuos y la necesidad de reactivos químicos en el proceso.</t>
  </si>
  <si>
    <t>Exploración de las concesiones mineras Gualcamayo 1 y Gualcamayo 2 y la determinación de la factibilidad del yacimiento de reservas minerales de oro y plata denominado “Carbonatos Profundos”, y la construcción, puesta en marcha y operación de la planta de tratamiento de dichos minerales extraídos del Proyecto</t>
  </si>
  <si>
    <t>Construcción, financiamiento y Operación y Mantenimiento (O&amp;M) de la infraestructura involucrada para generar una capacidad incremental de catorce millones de metros cúbicos por día (14 MMm³/d) al Tramo I del Gasoducto Francisco Pascasio Moren</t>
  </si>
  <si>
    <t>Comprende actividades destinadas a la factibilidad, desarrollo, ejecución y operación del yacimiento de oro y plata “Diablillos”, integrado por quince (15) concesiones mineras contiguas y superpuestas en la zona limítrofe entre las provincias de Salta y Catamarca</t>
  </si>
  <si>
    <t>Construcción y puesta en operación de una nueva planta de aceros largos, que incluye tanto la acería como la laminadora continua en tándem, de menores emisiones de dióxido de carbono (CO2) respecto de las tecnologías tradicionales y bajo un modelo de producción de economía circular que permitirá reducir el consumo de recursos naturales y disminuir la huella ambiental a partir del uso de un noventa y nueve coma cinco por ciento (99,5%) de chatarra como materia prima</t>
  </si>
  <si>
    <t>Construcción de una puerta de enlace multimodal y un punto estratégico de conexión en la Vía Navegable Troncal, también llamada “Hidrovía Paraguay – Paraná”, con el desarrollo de tres (3) unidades de gestión portuaria que buscarán optimizar las operaciones logísticas de carga, descarga, almacenamiento y despacho de distintos tipos de mercaderías, atendiendo a las necesidades de tráfico marítimo y terrestre de la zona </t>
  </si>
  <si>
    <t xml:space="preserve"> Instalación de un parque eólico de ciento ochenta (180) megavatios (180 MW) ubicado en la localidad de Olavarría, provincia de Buenos Aires, que también involucra la construcción de una nueva estación transformadora (ET) de treinta y tres a ciento treinta y dos kilovoltios (33/132 Kv) simple barra con dos transformadores de ciento veinte megavoltiamperios (120 MVA) y tres (3) campos, una línea de alta tensión (LAT) de ciento treinta y dos kilovoltios (132 Kv) de aproximadamente veinticinco kilómetros (25 km) de longitud que vinculará el parque eólico con la ET Olavarría -propiedad de TRANSBA SA-, y las obras de ampliación del sistema de transporte que incluirán la repotenciación de los capacitores series en la ET Olavarría y la ampliación de banco de capacitores shunt en la ET Ezeiza</t>
  </si>
  <si>
    <t>Construcción de una nueva Planta de Adsorción Selectiva (SA 1B) y una nueva Planta de Carbonato (PC 1B); asimismo, incluye la perforación de pozos de salmuera adicionales, la instalación de estanques, tuberías, servicios públicos y la construcción de edificios auxiliares para apoyar la operación y administración de la nueva producción de carbonato de litio (cf., RE-2025-96020090-APN-SCEYM#MEC), como así también, la construcción de una nueva Planta Compresora de Gas Natural en la localidad de Olacapato, departamento de Los Andes, provincia de Salta, situada dentro del radio de doscientos kilómetros (200 km) del Proyecto, que permitirá ampliar la capacidad de transporte de los gasoductos “La Puna” y “Fénix”, instalaciones asociadas directamente al abastecimiento y transporte de gas natural para la nueva producción del proyecto “Expansión Fase 1B”.</t>
  </si>
  <si>
    <t>Producción de doce mil (12.000) toneladas anuales de carbonato de litio equivalente (LCE)</t>
  </si>
  <si>
    <t>Parque solar fotovoltaico ubicado en la localidad de Jocolí del departamento Las Heras de la provincia de Mendoza, el cual tendrá una capacidad instalada por un total de trescientos cinco megavatios (305 MW) a desarrollarse en dos (2) etapas y proveerá energía</t>
  </si>
  <si>
    <t>Construcción, operación y mantenimiento de un gasoducto dedicado de gas natural destinado exclusivamente a la exportación de Gas Natural Licuado (GNL) que se extenderá desde el Predio Cabecera Tratayén, en la provincia del Neuquén hasta la Estación Compresora San Antonio Oeste en el Golfo San Matías, sito en la provincia de Río Negro, de aproximadamente cuatrocientos ochenta kilómetros (480 km) de longitud, y treinta y seis pulgadas (36”) de diámetro, siendo el objetivo central evacuar la producción incremental de la cuenca Neuquina hacia terminales licuefactoras, aprovechando el potencial de recursos no convencionales provenientes de la formación Vaca Muerta</t>
  </si>
  <si>
    <t>33-61913055-9</t>
  </si>
  <si>
    <t>Cobre, Oro y Plata</t>
  </si>
  <si>
    <t>Res. 1154/2026</t>
  </si>
  <si>
    <t>https://www.boletinoficial.gob.ar/detalleAviso/primera/345167/20260730</t>
  </si>
  <si>
    <t>Res. 1154/2026; Globaris; MECON</t>
  </si>
  <si>
    <t>Antes del anuncio inicial del RIGI, Josemaría ya contaba con una factibilidad de noviembre de 2020, una evaluación ambiental aprobada en abril de 2022, ingeniería, adquisición de equipos de larga entrega y USD 276 millones de gastos de capital durante 2023; Filo del Sol también poseía prefactibilidades y exploración avanzada. Estos antecedentes corresponden a los mismos depósitos y, principalmente, a la actual primera etapa basada en Josemaría. Sin embargo, la sociedad conjunta BHP–Lundin se constituyó en enero de 2025, la primera evaluación técnica unificada apareció en febrero de 2026 y la decisión final de inversión continuaba pendiente después de la aprobación.</t>
  </si>
  <si>
    <t>Monto (mill. USD) - aprobados resolución</t>
  </si>
  <si>
    <t>Expansión Fase 1B</t>
  </si>
  <si>
    <t>Res. 1025/2026</t>
  </si>
  <si>
    <t>Extracción, producción y exportación de cobre, oro y plata de los yacimientos Josemaría y Filo del Sol ubicados en la provincia de San Juan, República Argentina, así como la exploración de las concesiones mineras que forman parte del proyecto y el desarrollo de la infraestructura necesaria para su ejecución. Incluye infraestructura clave para operaciones de minería a cielo abierto: una planta concentradora para el procesamiento de minerales, instalaciones de lixiviación, infraestructura eléctrica, sistemas de suministro de agua, caminos de acceso y alojamientos.</t>
  </si>
  <si>
    <t>Res. 1157/2026; Globaris; MECON</t>
  </si>
  <si>
    <t>https://www.boletinoficial.gob.ar/detalleAviso/primera/345279/20260731</t>
  </si>
  <si>
    <t>Res. 1157/2026</t>
  </si>
  <si>
    <t>30-71922048-3</t>
  </si>
  <si>
    <t>Sal de Oro II</t>
  </si>
  <si>
    <t>Posco Argentina SAU SDE</t>
  </si>
  <si>
    <t>Construcción de una planta destinada a la producción de carbonato de litio y su infraestructura complementaria. La planta tendrá una capacidad operativa aproximada de 23.000 toneladas anuales, que se obtendrá a través de un proceso convencional de evaporación solar y tratamiento químico de salmuera.</t>
  </si>
  <si>
    <t>Signos fuertes de preexistencia del Proyecto Sal de Oro II. POSCO Holdings aprobó la inversión de la segunda fase en octubre de 2022; en junio de 2023, antes del primer anuncio del RIGI, el Gobierno nacional y la empresa comunicaron el inicio de construcción de una planta de carbonato de litio de 23.000 toneladas anuales; y en abril de 2024 POSCO obtuvo financiamiento por hasta USD 668 millones para esa misma fase. Las coincidencias de empresa, localización, producto, capacidad y etapa indican que se trata sustancialmente del mismo proyecto incorporado posteriormente al régimen.</t>
  </si>
  <si>
    <t>LLL Oil</t>
  </si>
  <si>
    <t>Bandurria Norte</t>
  </si>
  <si>
    <t>Vista Energy (Argentina)</t>
  </si>
  <si>
    <t>Links_fuentes</t>
  </si>
  <si>
    <t>Desarrollo de una explotación de litio en el Salar de Diablillos, departamento Los Andes, Salta, con infraestructura de extracción de salmuera y una planta de producción comercial. La iniciativa prevé una expansión por etapas de la capacidad productiva.</t>
  </si>
  <si>
    <t>Potasio y Litio de Argentina S.A. (PLASA)</t>
  </si>
  <si>
    <t>Globaris; Gobierno de Salta; Casa Rosada; Infobae; auditoría 2026-08-08</t>
  </si>
  <si>
    <t>https://www.salta.gob.ar/prensa/noticias/vinculos-con-empresa-minera-china-para-el-ingreso-de-productos-saltenios-al-pais-asiatico-104841; https://www.casarosada.gob.ar/slider-principal/50224-el-presidente-se-reunio-con-autoridades-de-una-empresa-china-que-desarrolla-proyectos-de-extraccion-de-litio-en-salta; https://www.infobae.com/economia/2026/05/13/el-gobierno-aprobo-el-ingreso-al-rigi-de-la-ampliacion-del-gasoducto-perito-moreno-con-una-inversion-de-usd-550-millones/</t>
  </si>
  <si>
    <t>Proyecto para extraer y procesar arena silícea de cercanía en Río Negro como agente sostén para operaciones de fractura hidráulica en Vaca Muerta. La iniciativa se orienta al abastecimiento regional y a reducir distancias logísticas respecto de otras cuencas de suministro.</t>
  </si>
  <si>
    <t>Globaris; Infobae; Gobierno de Río Negro; auditoría 2026-08-08</t>
  </si>
  <si>
    <t>https://www.infobae.com/economia/2026/05/13/el-gobierno-aprobo-el-ingreso-al-rigi-de-la-ampliacion-del-gasoducto-perito-moreno-con-una-inversion-de-usd-550-millones/; https://rionegro.gov.ar/articulo/53275/rio-negro-fortalece-su-rol-en-el-abastecimiento-de-arena-para-vaca-muerta</t>
  </si>
  <si>
    <t>Pluspetrol (Argentina); Gas y Petróleo del Neuquén S.A. (Argentina)</t>
  </si>
  <si>
    <t>Upstream</t>
  </si>
  <si>
    <t>Construcción de un oleoducto de aproximadamente 207 km entre el área de Auca Mahuida/Puesto Hernández, en Neuquén, y Allen, en Río Negro, junto con obras de repotenciación y medición. La ampliación busca sumar capacidad de transporte de crudo desde Vaca Muerta.</t>
  </si>
  <si>
    <t>Neuquén; Río Negro</t>
  </si>
  <si>
    <t>Globaris; Oldelval; Infobae; auditoría 2026-08-08</t>
  </si>
  <si>
    <t>https://www.oldelval.com/oldelval-inicia-la-etapa-constructiva-del-proyecto-duplicar-norte/; https://www.oldelval.com/oldelval-confirmo-la-ejecucion-del-proyecto-duplicar-norte/; https://www.infobae.com/economia/2026/05/13/el-gobierno-aprobo-el-ingreso-al-rigi-de-la-ampliacion-del-gasoducto-perito-moreno-con-una-inversion-de-usd-550-millones/</t>
  </si>
  <si>
    <t>Desarrollo de una mina de cobre y molibdeno de gran escala en San Juan, con plata como subproducto e infraestructura de procesamiento asociada. La solicitud al RIGI corresponde a la primera fase del proyecto y está orientada a producción para exportación.</t>
  </si>
  <si>
    <t>Globaris; Glencore; Luis Caputo; Reuters; Infobae; auditoría 2026-08-08</t>
  </si>
  <si>
    <t>https://www.glencore.com/media-and-insights/news/glencore-submits-RIGI-applications-in-respect-of-its-argentine-copper-projects; https://x.com/LuisCaputoAR/status/1957458679835594969; https://www.reuters.com/latam/negocio/7X5ZW2SXG5IYNBUILMTT6GMS6U-2025-08-21/; https://www.infobae.com/economia/2026/05/13/el-gobierno-aprobo-el-ingreso-al-rigi-de-la-ampliacion-del-gasoducto-perito-moreno-con-una-inversion-de-usd-550-millones/</t>
  </si>
  <si>
    <t>Desarrollo de petróleo no convencional en el área El Trapial Este, en la formación Vaca Muerta, provincia de Neuquén. El programa prevé perforación, completación e infraestructura de superficie para ampliar la producción del bloque.</t>
  </si>
  <si>
    <t>Globaris; Chevron; Infobae; Clarín; auditoría 2026-08-08</t>
  </si>
  <si>
    <t>https://www.chevron.com/worldwide/argentina; https://www.infobae.com/economia/2026/06/02/chevron-presento-un-megaproyecto-bajo-el-rigi-para-invertir-usd-13800-millones-en-vaca-muerta/; https://www.clarin.com/economia/megainversion-vaca-muerta-chevron-presento-pedido-rigi-us-13800-millones_0_EXuEOYbjiy.html</t>
  </si>
  <si>
    <t>Programa de inversión ferroviaria de carga de Nuevo Central Argentino para mejorar infraestructura y capacidad operativa de la red que vincula centros productivos con puertos de exportación. El proyecto alcanza tramos en Buenos Aires, Santa Fe, Santiago del Estero y Chaco.</t>
  </si>
  <si>
    <t>Nuevo Central Argentino S.A. (Argentina)</t>
  </si>
  <si>
    <t>Nuevo Central Argentino S.A.</t>
  </si>
  <si>
    <t>Buenos Aires; Santa Fe; Santiago del Estero; Chaco</t>
  </si>
  <si>
    <t>Múltiples</t>
  </si>
  <si>
    <t>Globaris; Ministerio de Economía / Boletín Oficial; Nuevo Central Argentino; Infobae; auditoría 2026-08-08</t>
  </si>
  <si>
    <t>https://www.argentina.gob.ar/normativa/nacional/resoluci%C3%B3n-39-2025-415411/texto; https://www.nca.com.ar/Nuestra-red; https://www.infobae.com/economia/2026/05/13/el-gobierno-aprobo-el-ingreso-al-rigi-de-la-ampliacion-del-gasoducto-perito-moreno-con-una-inversion-de-usd-550-millones/</t>
  </si>
  <si>
    <t>Construcción de un parque eólico de 94,5 MW en Olavarría, provincia de Buenos Aires, integrado por 21 aerogeneradores. La energía se destinará principalmente a abastecer la planta siderúrgica de Siderca en Campana.</t>
  </si>
  <si>
    <t>Globaris; Tenaris; Infobae; auditoría 2026-08-08</t>
  </si>
  <si>
    <t>https://www.tenaris.com/en/news/2025/tenaris-begins-construction-of-second-wind-farm-in-argentina; https://www.infobae.com/economia/2026/05/13/el-gobierno-aprobo-el-ingreso-al-rigi-de-la-ampliacion-del-gasoducto-perito-moreno-con-una-inversion-de-usd-550-millones/</t>
  </si>
  <si>
    <t>Desarrollo integrado de litio en los salares Pozuelos y Pastos Grandes, en la Puna salteña, mediante una operación conjunta de Ganfeng Lithium y Lithium Argentina. El plan contempla infraestructura de extracción y procesamiento y una expansión por etapas hasta una capacidad objetivo de 150.000 toneladas anuales de carbonato de litio equivalente.</t>
  </si>
  <si>
    <t>Ganfeng Lithium (China); Lithium Argentina AG (Suiza)</t>
  </si>
  <si>
    <t>Globaris; Gobierno de Salta; Lithium Argentina; Infobae; auditoría 2026-08-08</t>
  </si>
  <si>
    <t>https://www.salta.gob.ar/prensa/noticias/avanza-en-salta-el-proyecto-de-litio-pozuelos-pastos-grandes-104827; https://investors.lithium-argentina.com/news-releases/news-release-details/lithium-argentina-reports-fourth-quarter-and-full-year-2025; https://www.infobae.com/economia/2026/05/13/el-gobierno-aprobo-el-ingreso-al-rigi-de-la-ampliacion-del-gasoducto-perito-moreno-con-una-inversion-de-usd-550-millones/</t>
  </si>
  <si>
    <t>Desarrollo de litio en el Salar del Hombre Muerto, Catamarca, con extracción de salmuera e instalaciones de procesamiento. La primera etapa prevé una capacidad de aproximadamente 15.000 toneladas anuales de carbonato de litio equivalente.</t>
  </si>
  <si>
    <t>Globaris; Rio Tinto; Infobae; auditoría 2026-08-08</t>
  </si>
  <si>
    <t>https://www.riotinto.com/en/news/releases/2025/rio-tinto-confirmed-as-preferred-partner-on-world-class-salares-altoandinos-lithium-project; https://www.infobae.com/economia/2025/10/07/hay-mas-de-usd-18000-millones-a-la-espera-de-aprobacion-en-proyectos-del-rigi/; https://www.infobae.com/economia/2026/05/13/el-gobierno-aprobo-el-ingreso-al-rigi-de-la-ampliacion-del-gasoducto-perito-moreno-con-una-inversion-de-usd-550-millones/</t>
  </si>
  <si>
    <t>Desarrollo integrado de petróleo no convencional en los bloques Loma Jarillosa Este y Puesto Silva Oeste, en Vaca Muerta, mediante perforación en modo factoría, una planta central de procesamiento y sistemas compartidos de evacuación. El plan busca elevar la producción conjunta hasta unos 20.000 barriles equivalentes diarios en tres años.</t>
  </si>
  <si>
    <t>GeoPark (Colombia); Gas y Petróleo del Neuquén S.A. (Argentina)</t>
  </si>
  <si>
    <t>Globaris; GeoPark; EconoJournal; auditoría 2026-08-08</t>
  </si>
  <si>
    <t>https://www.geo-park.com/es/news/geopark-solicita-adhesion-al-rigi-por-proyecto-de-inversion/; https://econojournal.com.ar/oilgas/geopark-presenta-al-rigi-una-inversion-por-us1-000-millones-para-un-hub-petrolero-en-vaca-muerta/</t>
  </si>
  <si>
    <t>YPF S.A. (Argentina); Petrobras (Brasil); Dow (Argentina)</t>
  </si>
  <si>
    <t>Desarrollo de una mina de cobre, oro, plata y molibdeno en Catamarca, integrando el yacimiento Agua Rica con la infraestructura existente de Alumbrera, ubicada a unos 35 km. El esquema MARA contempla explotación, procesamiento y uso de instalaciones compartidas para producción destinada principalmente a exportación.</t>
  </si>
  <si>
    <t>Desarrollo integrado de litio en los proyectos Jama y Solaroz, en la Puna de Jujuy, con una planta prevista en el Salar de Jama. La iniciativa contempla extracción de salmuera y producción de compuestos de litio, con una capacidad informada de aproximadamente 22.000 toneladas anuales.</t>
  </si>
  <si>
    <t>CNGR Advanced Material Co., Ltd. (China)</t>
  </si>
  <si>
    <t>CNGR Advanced Material Co., Ltd.</t>
  </si>
  <si>
    <t>Globaris; Gobierno de Jujuy; El Tribuno de Jujuy; Infobae; auditoría 2026-08-08</t>
  </si>
  <si>
    <t>https://prensa.jujuy.gob.ar/jujuy/jujuy-se-afianza-como-productor-minerales-criticos-el-desarrollo-la-transicion-energetica-n120116; https://eltribunodejujuy.com/informacion-general/2026-4-1-0-0-0-proyecto-de-litio-en-jujuy-busca-la-adhesion-al-rigi; https://www.infobae.com/economia/2026/05/13/el-gobierno-aprobo-el-ingreso-al-rigi-de-la-ampliacion-del-gasoducto-perito-moreno-con-una-inversion-de-usd-550-millones/</t>
  </si>
  <si>
    <t>Desarrollo integrado de cinco bloques contiguos de petróleo no convencional en Vaca Muerta: La Angostura Norte, La Angostura Sur I, La Angostura Sur II, La Angostura Suroeste y Barreal Grande. El programa prevé perforar 1.152 pozos y compartir instalaciones de superficie y servicios para alcanzar una producción aproximada de 240.000 barriles diarios hacia 2032, destinada a exportación.</t>
  </si>
  <si>
    <t>Globaris; YPF; EconoJournal; Reuters; auditoría 2026-08-08</t>
  </si>
  <si>
    <t>https://www.instagram.com/p/DYX1JXjj-bC/; https://econojournal.com.ar/destacada/ypf-presento-rigi-acelerar-produccion-petroleo-vaca-muerta/; https://www.reuters.com/business/energy/argentinas-ypf-registers-25-bln-oil-project-rigi-investment-scheme-2026-05-15/</t>
  </si>
  <si>
    <t>Desarrollo greenfield de petróleo no convencional en Bandurria Norte, Vaca Muerta, sobre una superficie aproximada de 26.500 acres. El plan contempla 332 pozos horizontales, planta de tratamiento de crudo, compresión de gas, redes de recolección y ductos, con una meta de 50.000 barriles equivalentes diarios.</t>
  </si>
  <si>
    <t>Globaris; EconoJournal; Vista Energy / SEC; Oil &amp; Gas Journal; auditoría 2026-08-08</t>
  </si>
  <si>
    <t>https://econojournal.com.ar/oilgas/vista-energy-pidio-la-adhesion-al-rigi-para-un-proyecto-de-us-5-800-millones-en-vaca-muerta/; https://www.sec.gov/Archives/edgar/data/1762506/000119312526306139/d151775dex1.htm; https://www.ogj.com/exploration-development/news/55394130/vista-seeks-rigi-approval-for-58-billion-bandurria-norte-development</t>
  </si>
  <si>
    <t>Que conforme surge de la presentación, se trata de la ampliación de un proyecto preexistente denominado Cauchari Olaroz con una capacidad productiva instalada de cuarenta mil toneladas (40.000 t) por año de carbonato de litio equivalente (en adelante LCE).</t>
  </si>
  <si>
    <t>Chevron</t>
  </si>
  <si>
    <t>GeoPark</t>
  </si>
  <si>
    <t>YPF</t>
  </si>
  <si>
    <t>Vista Energy</t>
  </si>
  <si>
    <t>30-71871335-4</t>
  </si>
  <si>
    <t>Argentina LNG</t>
  </si>
  <si>
    <t>Proyecto integrado de producción y exportación de gas natural licuado: desarrollo de gas rico en Vaca Muerta, infraestructura dedicada de transporte, plantas de procesamiento y fraccionamiento y dos unidades flotantes de licuefacción (FLNG) por 12 MTPA en el Golfo San Matías.</t>
  </si>
  <si>
    <t>YPF S.A. (Argentina); Eni S.p.A. (Italia); XRG (Emiratos Árabes Unidos)</t>
  </si>
  <si>
    <t>YPF / Argentina LNG; La Nación; Infobae; Data Energía</t>
  </si>
  <si>
    <t>https://argentina-lng.ypf.com/assets/pdf/ENG-Argentina-LNG-Adhesion-RIGI.pdf; https://www.lanacion.com.ar/economia/un-proyecto-por-us51000-millones-impulsado-por-ypf-solicito-la-adhesion-al-rigi-nid13082026/; https://www.infobae.com/economia/2026/08/13/con-una-inversion-de-usd-50000-millones-ypf-presenta-al-rigi-el-mayor-proyecto-de-su-historia-para-exportar-gas-de-vaca-muerta/; https://dataenergia.ar/gas/argentina-lgn-solicitaron-la-adhesion-formal-al-rigi-para-una-inversion-historica-de-u-s-51-000-millones-202681319370</t>
  </si>
  <si>
    <t>activos_computables_comprometido_primer_anio</t>
  </si>
  <si>
    <t>activos_computables_comprometido_segundo_anio</t>
  </si>
  <si>
    <t>activos_computables_comprometido_primeros_dos_anios_total</t>
  </si>
  <si>
    <t>fecha_limite_inversion_minima_activos_computables</t>
  </si>
  <si>
    <t>vpu</t>
  </si>
  <si>
    <t>descripcion_proyecto</t>
  </si>
  <si>
    <t>peelp</t>
  </si>
  <si>
    <t>cuit</t>
  </si>
  <si>
    <t>actividad_subsector_resolucion_mecon</t>
  </si>
  <si>
    <t>inversion_total_mill_usd</t>
  </si>
  <si>
    <t>inversion_total_resolucion_mill_usd</t>
  </si>
  <si>
    <t>inversion_activos_computables_mill_usd</t>
  </si>
  <si>
    <t>inversion_activos_computables_comprometida_anio_1_mill_usd</t>
  </si>
  <si>
    <t>inversion_activos_computables_comprometida_anio_2_mill_usd</t>
  </si>
  <si>
    <t>inversion_activos_computables_comprometida_2_anios_mill_usd</t>
  </si>
  <si>
    <t>estado_administrativo</t>
  </si>
  <si>
    <t>empleos_directos_indirectos_informados</t>
  </si>
  <si>
    <t>clasificacion_preexistencia_boletin_oficial</t>
  </si>
  <si>
    <t>justificacion_preexistencia_boletin_oficial</t>
  </si>
  <si>
    <t>fuentes</t>
  </si>
  <si>
    <t>links_fuentes</t>
  </si>
  <si>
    <t>Orden</t>
  </si>
  <si>
    <t>Nombre actual en XLSX madre</t>
  </si>
  <si>
    <t>Variable recomendada</t>
  </si>
  <si>
    <t>Tipo</t>
  </si>
  <si>
    <t>Unidad</t>
  </si>
  <si>
    <t>Descripción breve</t>
  </si>
  <si>
    <t>Texto</t>
  </si>
  <si>
    <t>—</t>
  </si>
  <si>
    <t>Denominación del Vehículo de Proyecto Único (VPU) asociado al proyecto RIGI.</t>
  </si>
  <si>
    <t>Descripción del proyecto</t>
  </si>
  <si>
    <t>Descripción sintética del alcance, actividad e infraestructura comprendida en el proyecto.</t>
  </si>
  <si>
    <t>Proyecto de Exportación Estratégica de Largo Plazo (PEELP)</t>
  </si>
  <si>
    <t>Categórica</t>
  </si>
  <si>
    <t>Sí / No</t>
  </si>
  <si>
    <t>Indica si el proyecto corresponde a un Proyecto de Exportación Estratégica de Largo Plazo (PEELP).</t>
  </si>
  <si>
    <t>ID del proyecto</t>
  </si>
  <si>
    <t>Entera</t>
  </si>
  <si>
    <t>Identificador único y estable del proyecto dentro de la base del Monitor.</t>
  </si>
  <si>
    <t>Empresa</t>
  </si>
  <si>
    <t>Empresa o grupo empresario principal vinculado al proyecto.</t>
  </si>
  <si>
    <t>Titular del proyecto</t>
  </si>
  <si>
    <t>Razón social del titular o sociedad que presenta o desarrolla formalmente el proyecto.</t>
  </si>
  <si>
    <t>CUIT del titular del proyecto o VPU, cuando está disponible.</t>
  </si>
  <si>
    <t>Sector</t>
  </si>
  <si>
    <t>Sector económico principal al que se asigna el proyecto.</t>
  </si>
  <si>
    <t>Subsector</t>
  </si>
  <si>
    <t>Subsector económico utilizado para una clasificación más detallada.</t>
  </si>
  <si>
    <t>Actividad / subsector según resolución MECON</t>
  </si>
  <si>
    <t>Actividad o subsector consignado en la resolución del Ministerio de Economía.</t>
  </si>
  <si>
    <t>Provincia</t>
  </si>
  <si>
    <t>Texto / categórica</t>
  </si>
  <si>
    <t>Provincia o provincias en las que se localiza el proyecto.</t>
  </si>
  <si>
    <t>Localidad / región</t>
  </si>
  <si>
    <t>Localidad, región, corredor o referencia territorial más específica del proyecto.</t>
  </si>
  <si>
    <t>Inversión total</t>
  </si>
  <si>
    <t>Numérica</t>
  </si>
  <si>
    <t>Millones de USD</t>
  </si>
  <si>
    <t>Inversión total prevista o informada para el proyecto.</t>
  </si>
  <si>
    <t>Inversión total según resolución</t>
  </si>
  <si>
    <t>Inversión total consignada en la resolución aprobatoria del proyecto.</t>
  </si>
  <si>
    <t>Inversión en activos computables</t>
  </si>
  <si>
    <t>Parte de la inversión que califica como inversión en activos computables bajo el RIGI.</t>
  </si>
  <si>
    <t>Inversión comprometida en activos computables — Año 1</t>
  </si>
  <si>
    <t>Monto de inversión en activos computables comprometido para el primer año.</t>
  </si>
  <si>
    <t>Inversión comprometida en activos computables — Año 2</t>
  </si>
  <si>
    <t>Monto de inversión en activos computables comprometido para el segundo año.</t>
  </si>
  <si>
    <t>Inversión comprometida en activos computables — primeros 2 años</t>
  </si>
  <si>
    <t>Suma de los compromisos de inversión en activos computables de Año 1 y Año 2.</t>
  </si>
  <si>
    <t>Estado del proyecto dentro del proceso administrativo del RIGI.</t>
  </si>
  <si>
    <t>Empleo informado</t>
  </si>
  <si>
    <t>Puestos de trabajo</t>
  </si>
  <si>
    <t>Cantidad de empleos directos e indirectos informados públicamente para el proyecto.</t>
  </si>
  <si>
    <t>Fecha límite para alcanzar la inversión mínima</t>
  </si>
  <si>
    <t>Fecha</t>
  </si>
  <si>
    <t>Fecha comprometida para alcanzar el monto mínimo de inversión en activos computables.</t>
  </si>
  <si>
    <t>Fecha de presentación</t>
  </si>
  <si>
    <t>Fecha de presentación de la solicitud de adhesión al RIGI.</t>
  </si>
  <si>
    <t>Fecha de adhesión al RIGI</t>
  </si>
  <si>
    <t>Fecha de adhesión al RIGI consignada en el acto administrativo aprobatorio.</t>
  </si>
  <si>
    <t>Fecha de publicación en Boletín Oficial</t>
  </si>
  <si>
    <t>Fecha de publicación de la norma en el Boletín Oficial.</t>
  </si>
  <si>
    <t>Norma de aprobación</t>
  </si>
  <si>
    <t>Identificación de la resolución o norma que aprueba la adhesión del proyecto.</t>
  </si>
  <si>
    <t>Clasificación de preexistencia — Boletín Oficial</t>
  </si>
  <si>
    <t>Clasificación analítica sobre indicios de preexistencia, ampliación o continuidad observados en la resolución.</t>
  </si>
  <si>
    <t>Justificación de preexistencia — Boletín Oficial</t>
  </si>
  <si>
    <t>Fundamento de la clasificación de preexistencia elaborado a partir de la resolución publicada.</t>
  </si>
  <si>
    <t>URL</t>
  </si>
  <si>
    <t>Enlace a la norma o resolución oficial correspondiente al proyecto.</t>
  </si>
  <si>
    <t>Listado sintético de las fuentes utilizadas para construir y verificar la información.</t>
  </si>
  <si>
    <t>Links de fuentes</t>
  </si>
  <si>
    <t>Texto / URL</t>
  </si>
  <si>
    <t>Enlaces a las fuentes complementarias utilizadas para documentar el proyecto.</t>
  </si>
  <si>
    <t>Resolución</t>
  </si>
  <si>
    <t>Variable</t>
  </si>
  <si>
    <t>Nombre visible</t>
  </si>
  <si>
    <t>Luz del Campo S.A.; YPF Luz (Argentina)</t>
  </si>
  <si>
    <t>Xizang Zhufeng Resources Co., Ltd. (China)</t>
  </si>
  <si>
    <t>Zijin Mining (China)</t>
  </si>
  <si>
    <t>Ampliación Mega</t>
  </si>
  <si>
    <t>Compañía Mega SA Sucursal Dedicada</t>
  </si>
  <si>
    <t>30-71932893-4</t>
  </si>
  <si>
    <t>https://www.boletinoficial.gob.ar/detalleAviso/primera/346397/20260826</t>
  </si>
  <si>
    <t>Construcción de plantas de tratamiento, plantas de separación de líquidos de gas natural, oleoductos, gasoductos y poliductos e instalaciones de almacenamiento</t>
  </si>
  <si>
    <t>Ampliación de un complejo industrial para incrementar la capacidad de producción de Líquidos del Gas Natural (LGN) en 1500 toneladas diarias.  El proyecto contempla nuevas instalaciones en la Planta de Separación de Loma La Lata, la ampliación de la capacidad de transporte del poliducto que atraviesa Neuquén, Río Negro, La Pampa y Buenos Aires, y la expansión de la Planta de Fraccionamiento ubicada en Bahía Blanca.</t>
  </si>
  <si>
    <t>Neuquén; La Pampa; Río Negro; Buenos Aires</t>
  </si>
  <si>
    <t>Res. 1381/2026</t>
  </si>
  <si>
    <t>La resolución define expresamente al proyecto como una ampliación de un proyecto preexistente no adherido al RIGI: el Complejo Industrial MEGA, cuya capacidad actual de producción de LGN será incrementada mediante nuevas instalaciones e infraestructura.</t>
  </si>
  <si>
    <t>Res. 1381/2026; Globaris; MECON</t>
  </si>
  <si>
    <t>San Matías Pipeline S.A.</t>
  </si>
  <si>
    <t>30-71875855-2</t>
  </si>
  <si>
    <t>Fertilizantes</t>
  </si>
  <si>
    <t>Petroquímica y Fertilizantes</t>
  </si>
  <si>
    <t>Res. 1468/2026</t>
  </si>
  <si>
    <t>Puerto de Ingeniero White, Bahía Blanca</t>
  </si>
  <si>
    <t>Construcción, operación y gerenciamiento de dos (2) plantas de producción de urea, cada una con capacidad de tres mil toneladas (3.000 t) por día, con sus correspondientes unidades de granulación, y una planta de amoníaco con capacidad de tres mil cuatrocientas cincuenta toneladas (3.450 t) por día, utilizando como insumo principal el gas natural de Vaca Muerta, a desarrollarse en el Puerto de Ingeniero White, partido de Bahía Blanca, provincia de Buenos Aires.</t>
  </si>
  <si>
    <t>https://www.boletinoficial.gob.ar/detalleAviso/primera/346966/20260907</t>
  </si>
  <si>
    <t>Res.1468/2026; MECON</t>
  </si>
  <si>
    <t>Se identifican signos fuertes de preexistencia. El proyecto “Fertilizantes” de Fértil Pampa SAU fue aprobado bajo RIGI por la Resolución 1468/2026, publicada el 07/09/2026, pero existía públicamente antes de esa fecha. La sociedad Fértil Pampa SAU fue constituida en octubre de 2024 con objeto específico de construir y operar una planta de amoníaco, urea y otros fertilizantes. Antes de la aprobación RIGI ya existían divulgaciones financieras y ambientales ante BID Invest e IFC, solicitud RIGI presentada el 21/04/2026, memorándum de entendimiento con el Municipio de Bahía Blanca, decisión final de inversión de Pampa Energía del 17/07/2026, contrato EPC con Tecnimont–SACDE y trámites de participación pública ambiental. Por lo tanto, se clasifica como proyecto preexistente al anuncio/aprobación oficial, aunque corresponde a una inversión greenfield y no a una ampliación de una planta ya operativa.</t>
  </si>
  <si>
    <t>Nueva planta dentro del complejo industrial de Toyota en Zárate para producir un vehículo electrificado —descripto por el ministro de Economía como 100% electrificado—, con aproximadamente 70% de la producción destinada a exportación.</t>
  </si>
  <si>
    <t>Toyota Argentina S.A. (Argentina)</t>
  </si>
  <si>
    <t>Tecnología</t>
  </si>
  <si>
    <t>Zárate</t>
  </si>
  <si>
    <t>Luis Caputo / Ministerio de Economía (X, 30/09/2026); Reuters (30/09/2026); La Nación / Toyota Argentina (30/09/2026); ARCA / Decreto 105/2026 (19/02/2026)</t>
  </si>
  <si>
    <t>https://x.com/LuisCaputoAR/status/2105382049758523681; https://www.reuters.com/world/asia-pacific/toyota-invest-134-billion-argentina-production-plant-2026-09-30/; https://www.lanacion.com.ar/autos/toyota-invertira-us1341-millones-para-fabricar-un-nuevo-vehiculo-en-la-argentina-nid30092026/; https://biblioteca.afip.gob.ar/dcp/DEC_C_000749_2024_08_22</t>
  </si>
  <si>
    <t>Desarrollo de recuperación terciaria de petróleo convencional en Cerro Dragón: 22 plantas de inyección de polímeros, perforación de 100 pozos productores e inyectores, adecuación de pozos, intervención de otros 600 pozos productores e infraestructura complementaria de superficie. Producción incremental estimada: 46 millones de barriles de petróleo y 30 BCF de gas natural.</t>
  </si>
  <si>
    <t>Chubut</t>
  </si>
  <si>
    <t>Área Cerro Dragón, Cuenca del Golfo San Jorge</t>
  </si>
  <si>
    <t>Gobierno del Chubut (01/10/2026); La Nación / PAE (01/10/2026); Reuters / Luis Caputo (01/10/2026)</t>
  </si>
  <si>
    <t>https://noticias.chubut.gob.ar/notas/gobierno/5481/torres-encabezo-en-la-sede-de-la-ocde-el-anuncio-de-una-inversion-de-usd-1200-millones-de-pae-para-cerro-dragon.html; https://www.lanacion.com.ar/economia/pan-american-energy-busca-ingresar-al-rigi-con-una-inversion-de-us1200-millones-para-revitalizar-nid01102026/; https://www.reuters.com/business/energy/pae-invest-12-billion-argentina-oil-field-minister-says-2026-10-01/</t>
  </si>
  <si>
    <t>Toyota</t>
  </si>
  <si>
    <t>PAE Cerro Dragón</t>
  </si>
  <si>
    <t xml:space="preserve">Automotriz </t>
  </si>
  <si>
    <t>Pampa Exploración S.A.</t>
  </si>
  <si>
    <t>Desarrollo del depósito Lunahuasi de cobre, oro y plata, actualmente en exploración, con perforaciones y una galería de exploración planificada para avanzar hacia su desarrollo minero</t>
  </si>
  <si>
    <t>NGEx Minerals Ltd. (Canadá)</t>
  </si>
  <si>
    <t>Departamento Iglesia; Distrito Vicuña</t>
  </si>
  <si>
    <t>https://ngexminerals.com/news/ngex-releases-2025-sustainability-summary-122811/; https://www.panorama-minero.com/es/mining-compendium/argentina/project/lunahuasi</t>
  </si>
  <si>
    <t>NGEx Minerals, 14/05/2026; Panorama Minero, consulta 02/10/2026</t>
  </si>
  <si>
    <t>UT RIGI LOS TOLDOS</t>
  </si>
  <si>
    <t>Tecpetrol S.A. Gas y Petróleo del Neuquén S.A. UT RIGI Los Toldos U.T.E.</t>
  </si>
  <si>
    <t>33-71889684-9</t>
  </si>
  <si>
    <t>Explotación y producción de nuevos desarrollos de hidrocarburos líquidos y gaseosos costa adentro</t>
  </si>
  <si>
    <t>Departamento Pehuenches; área Los Toldos II Este; Engolfamiento/Bajo de Añelo</t>
  </si>
  <si>
    <t>La resolución establece que la primera etapa comenzó el 01/11/2024, antes de la presentación y aprobación RIGI.</t>
  </si>
  <si>
    <t>https://www.boletinoficial.gob.ar/detalleAviso/primera/348768/20261009</t>
  </si>
  <si>
    <t>https://www.argentina.gob.ar/normativa/nacional/norma-431089 ; https://www.tecpetrol.com/es/noticias/2026/rigi-los-toldos-ii-este</t>
  </si>
  <si>
    <t>Desarrollo de hidrocarburos en el área Los Toldos II Este, Vaca Muerta, el cual consiste en la perforación de 380 pozos junto con su infraestructura asociada para el tratamiento de la producción por una capacidad máxima de 70 mil barriles de petróleo diarios. El proyecto prevé un total de 360 millones de barriles de petróleo de exportación durante su operación.</t>
  </si>
  <si>
    <t>Res. 1771/2026</t>
  </si>
  <si>
    <t>Res. 1771/2026; Tecpetrol</t>
  </si>
  <si>
    <t>Exploración, producción, tratamiento y transporte de hidrocarburos en un área aproximada de 400 km² del centro-norte de Neuquén. El alcance comprende 620 pozos horizontales, cuatro plantas de tratamiento temprano (EPF), un oleoducto de 45 km y un gasoducto de 20 km, con capacidad total de 100.000 barriles diarios de petróleo y 12 millones de Sm³ diarios de gas. La primera etapa prevé 206 pozos y las EPF 1 y 2; la segunda, 414 pozos y las EPF 3 y 4.</t>
  </si>
  <si>
    <t>Gas y Petróleo del Neuquén S.A. - Pluspetrol Cuenca Neuquina S.R.L. – Unión Transitoria Exploración y Producción Bajo del Choique – La Invernada</t>
  </si>
  <si>
    <t>30-71920381-3</t>
  </si>
  <si>
    <t>Explotación y producción de nuevos desarrollos de hidrocarburos líquidos y gaseosos costa adentro, con instalaciones complementarias de tratamiento y transporte</t>
  </si>
  <si>
    <t>Centro-norte de Neuquén, aproximadamente 40 km al sur de Rincón de los Sauces; Hub Norte de la Cuenca Neuquina</t>
  </si>
  <si>
    <t>La primera etapa comenzó el 22/05/2025, once meses antes de la presentación al RIGI del 23/04/2026; por ello existe preexistencia según la cronología consignada en la resolución.</t>
  </si>
  <si>
    <t>https://www.boletinoficial.gob.ar/detalleAviso/primera/349233/20261019</t>
  </si>
  <si>
    <t>https://www.argentina.gob.ar/normativa/nacional/norma-431356; https://www.neuqueninforma.gob.ar/noticias/2026/10/19/265814-vaca-muerta-acelera-su-expansion-aprobaron-el-ingreso-al-rigi-de-un-proyecto-de-12-mil-millones-de-dolares; https://www.casarosada.gob.ar/informacion/conferencias/51404-conferencia-de-prensa-del-vocero-presidencial-adrian-ravier-desde-casa-rosada-19-10-2026</t>
  </si>
  <si>
    <t>Res. 1808/2026</t>
  </si>
  <si>
    <t>Res. 1808/2026; Gobierno de la Provincia del Neuquén; Casa Rosada</t>
  </si>
  <si>
    <r>
      <t xml:space="preserve">PAE ya informaba en 2024 que el esquema de GNL requería infraestructura adicional: interconexión a gasoductos troncales, estación compresora, gasoducto terrestre hasta la costa, gasoducto submarino y sistema de amarre. También indicaba que PAE y Golar habían firmado en julio de 2024 un acuerdo por 20 años para instalar el buque </t>
    </r>
    <r>
      <rPr>
        <b/>
        <sz val="12"/>
        <color theme="1"/>
        <rFont val="Calibri"/>
        <family val="2"/>
        <scheme val="major"/>
      </rPr>
      <t>Hilli Episeyo</t>
    </r>
    <r>
      <rPr>
        <sz val="12"/>
        <color theme="1"/>
        <rFont val="Calibri"/>
        <family val="2"/>
        <scheme val="major"/>
      </rPr>
      <t xml:space="preserve"> en Argentina.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</si>
</sst>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00"/>
    <numFmt numFmtId="166" formatCode="#,##0.0"/>
    <numFmt numFmtId="168" formatCode="#,##0.000000"/>
  </numFmts>
  <fonts count="14">
    <font>
      <sz val="11"/>
      <color theme="1"/>
      <name val="Calibri"/>
    </font>
    <font>
      <sz val="11"/>
      <color theme="1"/>
      <name val="Calibri"/>
      <family val="2"/>
    </font>
    <font>
      <u/>
      <sz val="11"/>
      <color theme="10"/>
      <name val="Calibri"/>
      <family val="2"/>
    </font>
    <font>
      <sz val="8"/>
      <name val="Calibri"/>
      <family val="2"/>
    </font>
    <font>
      <sz val="10"/>
      <color rgb="FF000000"/>
      <name val="Tahoma"/>
      <family val="2"/>
    </font>
    <font>
      <b/>
      <sz val="10"/>
      <color rgb="FF000000"/>
      <name val="Tahoma"/>
      <family val="2"/>
    </font>
    <font>
      <b/>
      <sz val="11"/>
      <color rgb="FFFFFFFF"/>
      <name val="Carlito"/>
    </font>
    <font>
      <sz val="11"/>
      <color rgb="FF000000"/>
      <name val="Carlito"/>
    </font>
    <font>
      <sz val="12"/>
      <color theme="1"/>
      <name val="Calibri"/>
      <family val="2"/>
      <scheme val="major"/>
    </font>
    <font>
      <b/>
      <sz val="12"/>
      <color theme="1"/>
      <name val="Calibri"/>
      <family val="2"/>
      <scheme val="major"/>
    </font>
    <font>
      <sz val="12"/>
      <color rgb="FF1F2937"/>
      <name val="Calibri"/>
      <family val="2"/>
      <scheme val="major"/>
    </font>
    <font>
      <u/>
      <sz val="12"/>
      <color theme="10"/>
      <name val="Calibri"/>
      <family val="2"/>
      <scheme val="major"/>
    </font>
    <font>
      <u/>
      <sz val="12"/>
      <color theme="1"/>
      <name val="Calibri"/>
      <family val="2"/>
      <scheme val="major"/>
    </font>
    <font>
      <sz val="12"/>
      <name val="Calibri"/>
      <family val="2"/>
      <scheme val="major"/>
    </font>
  </fonts>
  <fills count="7">
    <fill>
      <patternFill patternType="none"/>
    </fill>
    <fill>
      <patternFill patternType="gray125"/>
    </fill>
    <fill>
      <patternFill patternType="solid">
        <fgColor rgb="FFFFFFCC"/>
      </patternFill>
    </fill>
    <fill>
      <patternFill patternType="solid">
        <fgColor rgb="FFD9D9D9"/>
      </patternFill>
    </fill>
    <fill>
      <patternFill patternType="solid">
        <fgColor rgb="FF2F75B5"/>
      </patternFill>
    </fill>
    <fill>
      <patternFill patternType="solid">
        <fgColor rgb="FF2F75B5"/>
        <bgColor rgb="FF000000"/>
      </patternFill>
    </fill>
    <fill>
      <patternFill patternType="solid">
        <fgColor rgb="FFF7FAFC"/>
      </patternFill>
    </fill>
  </fills>
  <borders count="3">
    <border>
      <left/>
      <right/>
      <top/>
      <bottom/>
      <diagonal/>
    </border>
    <border>
      <left style="thin">
        <color rgb="FFB2B2B2"/>
      </left>
      <right style="thin">
        <color rgb="FFB2B2B2"/>
      </right>
      <top style="thin">
        <color rgb="FFB2B2B2"/>
      </top>
      <bottom style="thin">
        <color rgb="FFB2B2B2"/>
      </bottom>
      <diagonal/>
    </border>
    <border>
      <left/>
      <right/>
      <top/>
      <bottom style="thin">
        <color rgb="FFD1D5DB"/>
      </bottom>
      <diagonal/>
    </border>
  </borders>
  <cellStyleXfs count="4">
    <xf numFmtId="0" fontId="0" fillId="0" borderId="0"/>
    <xf numFmtId="0" fontId="1" fillId="2" borderId="1" applyNumberFormat="0" applyFont="0" applyAlignment="0" applyProtection="0"/>
    <xf numFmtId="0" fontId="2" fillId="0" borderId="0" applyNumberFormat="0" applyFill="0" applyBorder="0" applyAlignment="0" applyProtection="0"/>
    <xf numFmtId="0" fontId="1" fillId="0" borderId="0"/>
  </cellStyleXfs>
  <cellXfs count="45">
    <xf numFmtId="0" fontId="0" fillId="0" borderId="0" xfId="0"/>
    <xf numFmtId="0" fontId="0" fillId="0" borderId="0" xfId="0" applyAlignment="1">
      <alignment vertical="top" wrapText="1"/>
    </xf>
    <xf numFmtId="0" fontId="6" fillId="4" borderId="0" xfId="0" applyFont="1" applyFill="1" applyAlignment="1">
      <alignment horizontal="center" vertical="center" wrapText="1"/>
    </xf>
    <xf numFmtId="0" fontId="1" fillId="0" borderId="0" xfId="0" applyFont="1" applyAlignment="1">
      <alignment vertical="top" wrapText="1"/>
    </xf>
    <xf numFmtId="0" fontId="6" fillId="5" borderId="0" xfId="0" applyFont="1" applyFill="1" applyAlignment="1">
      <alignment horizontal="center" vertical="center" wrapText="1"/>
    </xf>
    <xf numFmtId="0" fontId="7" fillId="0" borderId="0" xfId="0" applyFont="1" applyAlignment="1">
      <alignment vertical="top" wrapText="1"/>
    </xf>
    <xf numFmtId="0" fontId="8" fillId="0" borderId="0" xfId="0" applyFont="1" applyAlignment="1">
      <alignment horizontal="center" vertical="center" wrapText="1"/>
    </xf>
    <xf numFmtId="1" fontId="8" fillId="0" borderId="0" xfId="0" applyNumberFormat="1" applyFont="1" applyAlignment="1">
      <alignment horizontal="center" vertical="center" wrapText="1"/>
    </xf>
    <xf numFmtId="3" fontId="8" fillId="0" borderId="0" xfId="0" applyNumberFormat="1" applyFont="1" applyAlignment="1">
      <alignment horizontal="center" vertical="center" wrapText="1"/>
    </xf>
    <xf numFmtId="49" fontId="8" fillId="0" borderId="0" xfId="0" applyNumberFormat="1" applyFont="1" applyAlignment="1">
      <alignment horizontal="center" vertical="center" wrapText="1"/>
    </xf>
    <xf numFmtId="165" fontId="8" fillId="0" borderId="0" xfId="0" applyNumberFormat="1" applyFont="1" applyAlignment="1">
      <alignment horizontal="center" vertical="center" wrapText="1"/>
    </xf>
    <xf numFmtId="14" fontId="8" fillId="0" borderId="0" xfId="0" applyNumberFormat="1" applyFont="1" applyAlignment="1">
      <alignment horizontal="center" vertical="center"/>
    </xf>
    <xf numFmtId="164" fontId="8" fillId="0" borderId="0" xfId="0" applyNumberFormat="1" applyFont="1" applyAlignment="1">
      <alignment horizontal="center" vertical="center" wrapText="1"/>
    </xf>
    <xf numFmtId="0" fontId="11" fillId="0" borderId="0" xfId="2" applyFont="1" applyAlignment="1">
      <alignment horizontal="center" vertical="center" wrapText="1"/>
    </xf>
    <xf numFmtId="0" fontId="8" fillId="3" borderId="0" xfId="0" applyFont="1" applyFill="1" applyAlignment="1">
      <alignment horizontal="center" vertical="center" wrapText="1"/>
    </xf>
    <xf numFmtId="1" fontId="8" fillId="3" borderId="0" xfId="0" applyNumberFormat="1" applyFont="1" applyFill="1" applyAlignment="1">
      <alignment horizontal="center" vertical="center" wrapText="1"/>
    </xf>
    <xf numFmtId="3" fontId="8" fillId="3" borderId="0" xfId="0" applyNumberFormat="1" applyFont="1" applyFill="1" applyAlignment="1">
      <alignment horizontal="center" vertical="center" wrapText="1"/>
    </xf>
    <xf numFmtId="165" fontId="8" fillId="3" borderId="0" xfId="0" applyNumberFormat="1" applyFont="1" applyFill="1" applyAlignment="1">
      <alignment horizontal="center" vertical="center" wrapText="1"/>
    </xf>
    <xf numFmtId="14" fontId="8" fillId="0" borderId="0" xfId="0" applyNumberFormat="1" applyFont="1" applyAlignment="1">
      <alignment horizontal="center" vertical="center" wrapText="1"/>
    </xf>
    <xf numFmtId="0" fontId="12" fillId="3" borderId="0" xfId="2" applyFont="1" applyFill="1" applyAlignment="1">
      <alignment horizontal="center" vertical="center" wrapText="1"/>
    </xf>
    <xf numFmtId="0" fontId="8" fillId="0" borderId="0" xfId="3" applyFont="1" applyAlignment="1">
      <alignment horizontal="center" vertical="center" wrapText="1"/>
    </xf>
    <xf numFmtId="1" fontId="8" fillId="0" borderId="0" xfId="3" applyNumberFormat="1" applyFont="1" applyAlignment="1">
      <alignment horizontal="center" vertical="center" wrapText="1"/>
    </xf>
    <xf numFmtId="3" fontId="8" fillId="0" borderId="0" xfId="3" applyNumberFormat="1" applyFont="1" applyAlignment="1">
      <alignment horizontal="center" vertical="center" wrapText="1"/>
    </xf>
    <xf numFmtId="165" fontId="8" fillId="0" borderId="0" xfId="3" applyNumberFormat="1" applyFont="1" applyAlignment="1">
      <alignment horizontal="center" vertical="center" wrapText="1"/>
    </xf>
    <xf numFmtId="0" fontId="13" fillId="0" borderId="0" xfId="0" applyFont="1" applyAlignment="1">
      <alignment horizontal="center" vertical="center" wrapText="1"/>
    </xf>
    <xf numFmtId="0" fontId="8" fillId="6" borderId="0" xfId="0" applyFont="1" applyFill="1" applyAlignment="1">
      <alignment horizontal="center" vertical="center" wrapText="1"/>
    </xf>
    <xf numFmtId="1" fontId="8" fillId="6" borderId="0" xfId="0" applyNumberFormat="1" applyFont="1" applyFill="1" applyAlignment="1">
      <alignment horizontal="center" vertical="center" wrapText="1"/>
    </xf>
    <xf numFmtId="3" fontId="8" fillId="6" borderId="0" xfId="0" applyNumberFormat="1" applyFont="1" applyFill="1" applyAlignment="1">
      <alignment horizontal="center" vertical="center" wrapText="1"/>
    </xf>
    <xf numFmtId="165" fontId="8" fillId="6" borderId="0" xfId="0" applyNumberFormat="1" applyFont="1" applyFill="1" applyAlignment="1">
      <alignment horizontal="center" vertical="center" wrapText="1"/>
    </xf>
    <xf numFmtId="14" fontId="8" fillId="6" borderId="0" xfId="0" applyNumberFormat="1" applyFont="1" applyFill="1" applyAlignment="1">
      <alignment horizontal="center" vertical="center"/>
    </xf>
    <xf numFmtId="0" fontId="8" fillId="0" borderId="0" xfId="0" applyFont="1" applyAlignment="1">
      <alignment horizontal="center" vertical="center"/>
    </xf>
    <xf numFmtId="0" fontId="8" fillId="3" borderId="0" xfId="2" applyFont="1" applyFill="1" applyAlignment="1">
      <alignment horizontal="center" vertical="center" wrapText="1"/>
    </xf>
    <xf numFmtId="0" fontId="8" fillId="0" borderId="0" xfId="2" applyFont="1" applyAlignment="1">
      <alignment horizontal="center" vertical="center" wrapText="1"/>
    </xf>
    <xf numFmtId="3" fontId="8" fillId="3" borderId="0" xfId="2" applyNumberFormat="1" applyFont="1" applyFill="1" applyAlignment="1">
      <alignment horizontal="center" vertical="center" wrapText="1"/>
    </xf>
    <xf numFmtId="3" fontId="8" fillId="0" borderId="0" xfId="2" applyNumberFormat="1" applyFont="1" applyAlignment="1">
      <alignment horizontal="center" vertical="center" wrapText="1"/>
    </xf>
    <xf numFmtId="0" fontId="10" fillId="0" borderId="2" xfId="0" applyFont="1" applyBorder="1" applyAlignment="1">
      <alignment horizontal="center" vertical="center" wrapText="1"/>
    </xf>
    <xf numFmtId="168" fontId="10" fillId="0" borderId="2" xfId="0" applyNumberFormat="1" applyFont="1" applyBorder="1" applyAlignment="1">
      <alignment horizontal="center" vertical="center" wrapText="1"/>
    </xf>
    <xf numFmtId="0" fontId="12" fillId="0" borderId="0" xfId="2" applyFont="1" applyAlignment="1">
      <alignment horizontal="center" vertical="center" wrapText="1"/>
    </xf>
    <xf numFmtId="0" fontId="9" fillId="0" borderId="0" xfId="0" applyFont="1" applyAlignment="1">
      <alignment horizontal="center" vertical="center" wrapText="1"/>
    </xf>
    <xf numFmtId="166" fontId="8" fillId="0" borderId="0" xfId="0" applyNumberFormat="1" applyFont="1" applyAlignment="1">
      <alignment horizontal="center" vertical="center" wrapText="1"/>
    </xf>
    <xf numFmtId="14" fontId="8" fillId="3" borderId="0" xfId="0" applyNumberFormat="1" applyFont="1" applyFill="1" applyAlignment="1">
      <alignment horizontal="center" vertical="center" wrapText="1"/>
    </xf>
    <xf numFmtId="14" fontId="10" fillId="0" borderId="2" xfId="0" applyNumberFormat="1" applyFont="1" applyBorder="1" applyAlignment="1">
      <alignment horizontal="center" vertical="center" wrapText="1"/>
    </xf>
    <xf numFmtId="14" fontId="8" fillId="0" borderId="0" xfId="3" applyNumberFormat="1" applyFont="1" applyAlignment="1">
      <alignment horizontal="center" vertical="center" wrapText="1"/>
    </xf>
    <xf numFmtId="14" fontId="13" fillId="0" borderId="0" xfId="0" applyNumberFormat="1" applyFont="1" applyAlignment="1">
      <alignment horizontal="center" vertical="center" wrapText="1"/>
    </xf>
    <xf numFmtId="14" fontId="8" fillId="6" borderId="0" xfId="0" applyNumberFormat="1" applyFont="1" applyFill="1" applyAlignment="1">
      <alignment horizontal="center" vertical="center" wrapText="1"/>
    </xf>
  </cellXfs>
  <cellStyles count="4">
    <cellStyle name="Hipervínculo" xfId="2" builtinId="8"/>
    <cellStyle name="Normal" xfId="0" builtinId="0"/>
    <cellStyle name="Normal 2" xfId="3" xr:uid="{0F8146AE-A856-BD46-BF98-FC4947F18E10}"/>
    <cellStyle name="Notas" xfId="1" xr:uid="{00000000-0005-0000-0000-000001000000}"/>
  </cellStyles>
  <dxfs count="33">
    <dxf>
      <font>
        <strike val="0"/>
        <outline val="0"/>
        <shadow val="0"/>
        <u val="none"/>
        <vertAlign val="baseline"/>
        <sz val="12"/>
        <color theme="1"/>
        <name val="Calibri"/>
        <family val="2"/>
        <scheme val="major"/>
      </font>
      <numFmt numFmtId="19" formatCode="d/m/yy"/>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numFmt numFmtId="19" formatCode="d/m/yy"/>
      <alignment horizontal="center" vertical="center" textRotation="0" wrapText="1" indent="0" justifyLastLine="0" shrinkToFit="0" readingOrder="0"/>
    </dxf>
    <dxf>
      <font>
        <strike val="0"/>
        <outline val="0"/>
        <shadow val="0"/>
        <u val="none"/>
        <vertAlign val="baseline"/>
        <sz val="12"/>
        <color theme="1"/>
        <name val="Calibri"/>
        <family val="2"/>
        <scheme val="major"/>
      </font>
      <numFmt numFmtId="19" formatCode="d/m/yy"/>
      <alignment horizontal="center" vertical="center" textRotation="0" wrapText="1" indent="0" justifyLastLine="0" shrinkToFit="0" readingOrder="0"/>
    </dxf>
    <dxf>
      <font>
        <strike val="0"/>
        <outline val="0"/>
        <shadow val="0"/>
        <u val="none"/>
        <vertAlign val="baseline"/>
        <sz val="12"/>
        <color theme="1"/>
        <name val="Calibri"/>
        <family val="2"/>
        <scheme val="major"/>
      </font>
      <numFmt numFmtId="19" formatCode="d/m/yy"/>
      <alignment horizontal="center" vertical="center" textRotation="0" wrapText="0"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vertAlign val="baseline"/>
        <sz val="12"/>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ajor"/>
      </font>
      <numFmt numFmtId="165" formatCode="0.0000"/>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ajor"/>
      </font>
      <numFmt numFmtId="165" formatCode="0.0000"/>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ajor"/>
      </font>
      <numFmt numFmtId="165" formatCode="0.0000"/>
      <alignment horizontal="center" vertical="center" textRotation="0" wrapText="1" indent="0" justifyLastLine="0" shrinkToFit="0" readingOrder="0"/>
    </dxf>
    <dxf>
      <font>
        <strike val="0"/>
        <outline val="0"/>
        <shadow val="0"/>
        <u val="none"/>
        <vertAlign val="baseline"/>
        <sz val="12"/>
        <color theme="1"/>
        <name val="Calibri"/>
        <family val="2"/>
        <scheme val="major"/>
      </font>
      <numFmt numFmtId="3" formatCode="#,##0"/>
      <alignment horizontal="center" vertical="center" textRotation="0" wrapText="1" indent="0" justifyLastLine="0" shrinkToFit="0" readingOrder="0"/>
    </dxf>
    <dxf>
      <font>
        <strike val="0"/>
        <outline val="0"/>
        <shadow val="0"/>
        <u val="none"/>
        <vertAlign val="baseline"/>
        <sz val="12"/>
        <color theme="1"/>
        <name val="Calibri"/>
        <family val="2"/>
        <scheme val="major"/>
      </font>
      <numFmt numFmtId="3" formatCode="#,##0"/>
      <alignment horizontal="center" vertical="center" textRotation="0" wrapText="1" indent="0" justifyLastLine="0" shrinkToFit="0" readingOrder="0"/>
    </dxf>
    <dxf>
      <font>
        <strike val="0"/>
        <outline val="0"/>
        <shadow val="0"/>
        <u val="none"/>
        <vertAlign val="baseline"/>
        <sz val="12"/>
        <color theme="1"/>
        <name val="Calibri"/>
        <family val="2"/>
        <scheme val="major"/>
      </font>
      <numFmt numFmtId="3" formatCode="#,##0"/>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numFmt numFmtId="3" formatCode="#,##0"/>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numFmt numFmtId="3" formatCode="#,##0"/>
      <alignment horizontal="center" vertical="center" textRotation="0" wrapText="1" indent="0" justifyLastLine="0" shrinkToFit="0" readingOrder="0"/>
    </dxf>
    <dxf>
      <font>
        <strike val="0"/>
        <outline val="0"/>
        <shadow val="0"/>
        <u val="none"/>
        <vertAlign val="baseline"/>
        <sz val="12"/>
        <color theme="1"/>
        <name val="Calibri"/>
        <family val="2"/>
        <scheme val="major"/>
      </font>
      <numFmt numFmtId="1" formatCode="0"/>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font>
        <strike val="0"/>
        <outline val="0"/>
        <shadow val="0"/>
        <u val="none"/>
        <vertAlign val="baseline"/>
        <sz val="12"/>
        <color theme="1"/>
        <name val="Calibri"/>
        <family val="2"/>
        <scheme val="major"/>
      </font>
      <alignment horizontal="center" vertical="center" textRotation="0" wrapText="1" indent="0" justifyLastLine="0" shrinkToFit="0" readingOrder="0"/>
    </dxf>
    <dxf>
      <border>
        <bottom style="thin">
          <color theme="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635000</xdr:colOff>
      <xdr:row>9</xdr:row>
      <xdr:rowOff>508000</xdr:rowOff>
    </xdr:to>
    <xdr:sp macro="" textlink="">
      <xdr:nvSpPr>
        <xdr:cNvPr id="2" name="AutoShape 5">
          <a:extLst>
            <a:ext uri="{FF2B5EF4-FFF2-40B4-BE49-F238E27FC236}">
              <a16:creationId xmlns:a16="http://schemas.microsoft.com/office/drawing/2014/main" id="{36C6C067-F208-FF40-9C74-0D3520367B82}"/>
            </a:ext>
          </a:extLst>
        </xdr:cNvPr>
        <xdr:cNvSpPr>
          <a:spLocks noChangeArrowheads="1"/>
        </xdr:cNvSpPr>
      </xdr:nvSpPr>
      <xdr:spPr bwMode="auto">
        <a:xfrm>
          <a:off x="0" y="0"/>
          <a:ext cx="12700000" cy="128905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635000</xdr:colOff>
      <xdr:row>9</xdr:row>
      <xdr:rowOff>508000</xdr:rowOff>
    </xdr:to>
    <xdr:sp macro="" textlink="">
      <xdr:nvSpPr>
        <xdr:cNvPr id="3" name="AutoShape 5">
          <a:extLst>
            <a:ext uri="{FF2B5EF4-FFF2-40B4-BE49-F238E27FC236}">
              <a16:creationId xmlns:a16="http://schemas.microsoft.com/office/drawing/2014/main" id="{3C055BE2-7030-6044-A5BA-1CCFC84AC24C}"/>
            </a:ext>
          </a:extLst>
        </xdr:cNvPr>
        <xdr:cNvSpPr>
          <a:spLocks noChangeArrowheads="1"/>
        </xdr:cNvSpPr>
      </xdr:nvSpPr>
      <xdr:spPr bwMode="auto">
        <a:xfrm>
          <a:off x="0" y="0"/>
          <a:ext cx="12700000" cy="128905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635000</xdr:colOff>
      <xdr:row>9</xdr:row>
      <xdr:rowOff>508000</xdr:rowOff>
    </xdr:to>
    <xdr:sp macro="" textlink="">
      <xdr:nvSpPr>
        <xdr:cNvPr id="4" name="AutoShape 5">
          <a:extLst>
            <a:ext uri="{FF2B5EF4-FFF2-40B4-BE49-F238E27FC236}">
              <a16:creationId xmlns:a16="http://schemas.microsoft.com/office/drawing/2014/main" id="{6A024A9F-DF3E-0D4F-9E66-511F638C22DE}"/>
            </a:ext>
          </a:extLst>
        </xdr:cNvPr>
        <xdr:cNvSpPr>
          <a:spLocks noChangeArrowheads="1"/>
        </xdr:cNvSpPr>
      </xdr:nvSpPr>
      <xdr:spPr bwMode="auto">
        <a:xfrm>
          <a:off x="0" y="0"/>
          <a:ext cx="12700000" cy="128905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635000</xdr:colOff>
      <xdr:row>9</xdr:row>
      <xdr:rowOff>508000</xdr:rowOff>
    </xdr:to>
    <xdr:sp macro="" textlink="">
      <xdr:nvSpPr>
        <xdr:cNvPr id="5" name="AutoShape 5">
          <a:extLst>
            <a:ext uri="{FF2B5EF4-FFF2-40B4-BE49-F238E27FC236}">
              <a16:creationId xmlns:a16="http://schemas.microsoft.com/office/drawing/2014/main" id="{66E753E4-D5A8-EF41-8E6F-F8F7AE11C5F3}"/>
            </a:ext>
          </a:extLst>
        </xdr:cNvPr>
        <xdr:cNvSpPr>
          <a:spLocks noChangeArrowheads="1"/>
        </xdr:cNvSpPr>
      </xdr:nvSpPr>
      <xdr:spPr bwMode="auto">
        <a:xfrm>
          <a:off x="0" y="0"/>
          <a:ext cx="12700000" cy="128905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Lucas Ordoñez" id="{3AB22868-5EC9-474A-BBCF-88B6CF007C82}" userId="aece5baeefa9fdd6"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BB49DC-9D24-614F-848B-0F39C691B2B5}" name="Tabla22" displayName="Tabla22" ref="A1:AD45" totalsRowShown="0" headerRowDxfId="7" dataDxfId="6" headerRowBorderDxfId="32">
  <autoFilter ref="A1:AD45" xr:uid="{C7BB49DC-9D24-614F-848B-0F39C691B2B5}"/>
  <sortState xmlns:xlrd2="http://schemas.microsoft.com/office/spreadsheetml/2017/richdata2" ref="A2:AC41">
    <sortCondition ref="D1:D41"/>
  </sortState>
  <tableColumns count="30">
    <tableColumn id="1" xr3:uid="{B0F75E5C-946A-644E-9EB4-93643A1ADB1D}" name="vpu" dataDxfId="31"/>
    <tableColumn id="2" xr3:uid="{0955A7C4-B25E-574D-B27D-1FB04B3EECF0}" name="descripcion_proyecto" dataDxfId="30"/>
    <tableColumn id="3" xr3:uid="{A18EE10B-7E84-2240-B4D3-1E345824A440}" name="peelp" dataDxfId="29"/>
    <tableColumn id="4" xr3:uid="{16CBA668-029E-7948-A2E2-792901752FC7}" name="id_proyecto" dataDxfId="28"/>
    <tableColumn id="5" xr3:uid="{0533A60E-9F7B-384C-8E9E-AF9F698F8BC8}" name="empresa" dataDxfId="27"/>
    <tableColumn id="6" xr3:uid="{E1AB486A-B757-314A-924B-58FCED818ED9}" name="titular_proyecto" dataDxfId="26"/>
    <tableColumn id="7" xr3:uid="{248B94B7-B222-6040-A333-51F513C1F6ED}" name="cuit" dataDxfId="25"/>
    <tableColumn id="8" xr3:uid="{AD5B6DCF-9CBB-3846-858D-9D3985C6A3E4}" name="sector" dataDxfId="24"/>
    <tableColumn id="9" xr3:uid="{4CA252E5-23F1-474A-A9B5-8A0EDF3EAF49}" name="subsector" dataDxfId="23"/>
    <tableColumn id="10" xr3:uid="{F8D93550-E6F5-114D-949F-487B7BFA388C}" name="actividad_subsector_resolucion_mecon" dataDxfId="22"/>
    <tableColumn id="11" xr3:uid="{1475CC17-5B24-3247-8DBA-0625A938B1B7}" name="provincia" dataDxfId="21"/>
    <tableColumn id="12" xr3:uid="{47AF60A5-F6B3-8743-8C92-1EB7255A904F}" name="localidad_region" dataDxfId="20"/>
    <tableColumn id="13" xr3:uid="{75050396-7FEE-5341-9B55-07F221AA6F90}" name="inversion_total_mill_usd" dataDxfId="19"/>
    <tableColumn id="14" xr3:uid="{A7D4770F-B48F-9443-B4A0-4629A448E999}" name="inversion_total_resolucion_mill_usd" dataDxfId="18"/>
    <tableColumn id="15" xr3:uid="{1602558E-3054-8C4C-9A58-AB8CCCD77682}" name="inversion_activos_computables_mill_usd" dataDxfId="17"/>
    <tableColumn id="28" xr3:uid="{87595E4D-D42F-354A-9940-89724D3641FE}" name="inversion_activos_computables_comprometida_anio_1_mill_usd" dataDxfId="16"/>
    <tableColumn id="29" xr3:uid="{688CE13F-074F-304D-836A-8560E747EB65}" name="inversion_activos_computables_comprometida_anio_2_mill_usd" dataDxfId="15"/>
    <tableColumn id="30" xr3:uid="{B6018A02-36C0-DD40-A886-EEE247A26505}" name="inversion_activos_computables_comprometida_2_anios_mill_usd" dataDxfId="14">
      <calculatedColumnFormula>SUM(Tabla22[[#This Row],[inversion_activos_computables_comprometida_anio_1_mill_usd]:[inversion_activos_computables_comprometida_anio_2_mill_usd]])</calculatedColumnFormula>
    </tableColumn>
    <tableColumn id="16" xr3:uid="{D9B1B5B6-782F-2243-91BD-908F3BAD2DE1}" name="estado_administrativo" dataDxfId="13"/>
    <tableColumn id="17" xr3:uid="{03E27E62-7FEF-084F-B60F-9D8063323ACC}" name="empleos_directos_indirectos_informados" dataDxfId="5"/>
    <tableColumn id="27" xr3:uid="{D7C6BCCC-1B44-1443-8A03-2D0A63BC3776}" name="fecha_limite_inversion_minima_activos_computables" dataDxfId="4"/>
    <tableColumn id="18" xr3:uid="{8E1C53B8-81DA-0043-91C5-F9A87892E325}" name="fecha_presentacion" dataDxfId="3"/>
    <tableColumn id="19" xr3:uid="{2487DCCA-74EE-1743-B2CF-7169CF1BEBD2}" name="fecha_adhesion_rigi" dataDxfId="2"/>
    <tableColumn id="20" xr3:uid="{51CF8FC1-2018-404C-A94F-1B1821BFB436}" name="fecha_publicacion_bo" dataDxfId="0"/>
    <tableColumn id="21" xr3:uid="{57FDDB6F-D25E-3742-BBE3-196B6D307586}" name="norma_aprobacion" dataDxfId="1"/>
    <tableColumn id="22" xr3:uid="{5FB062D4-AACF-864F-BFDC-22BF7798BAE5}" name="clasificacion_preexistencia_boletin_oficial" dataDxfId="12"/>
    <tableColumn id="23" xr3:uid="{2371D7C3-27BF-8B4D-9413-38667163C45E}" name="justificacion_preexistencia_boletin_oficial" dataDxfId="11"/>
    <tableColumn id="24" xr3:uid="{6EB99972-175D-EC4A-8EB6-3F4E07EFB52D}" name="link_norma" dataDxfId="10"/>
    <tableColumn id="25" xr3:uid="{968AE59F-CF82-D848-82E7-EE1B09768E94}" name="fuentes" dataDxfId="9"/>
    <tableColumn id="26" xr3:uid="{254939B9-204E-4D4D-9217-E3D8F271ED16}" name="links_fuentes" dataDxfId="8"/>
  </tableColumns>
  <tableStyleInfo name="TableStyleLight1" showFirstColumn="0" showLastColumn="0" showRowStripes="1" showColumnStripes="0"/>
</table>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11" dT="2026-08-23T00:21:57.27" personId="{3AB22868-5EC9-474A-BBCF-88B6CF007C82}" id="{AB094BBD-1C2D-6F4B-8934-933C032D5033}">
    <text>En la resolución del proyecto aclara que se va a poner en el primer año solamente</text>
  </threadedComment>
  <threadedComment ref="O24" dT="2026-10-09T18:59:55.16" personId="{3AB22868-5EC9-474A-BBCF-88B6CF007C82}" id="{1C1F2559-7EE3-DF4D-8661-353CB183F945}">
    <text xml:space="preserve">No se incluye en la resolución
</text>
  </threadedComment>
  <threadedComment ref="R30" dT="2026-08-23T00:27:42.92" personId="{3AB22868-5EC9-474A-BBCF-88B6CF007C82}" id="{81907ACA-C719-C348-AD5F-B563992B5DE3}">
    <text xml:space="preserve">En la resolución del proyecto se da el valor total de los dos primeros años. Divido en partes iguales los dos primeros años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boletinoficial.gob.ar/detalleAviso/primera/342483/20260528" TargetMode="External"/><Relationship Id="rId13" Type="http://schemas.openxmlformats.org/officeDocument/2006/relationships/hyperlink" Target="https://www.boletinoficial.gob.ar/detalleAviso/primera/340249/20260401" TargetMode="External"/><Relationship Id="rId18" Type="http://schemas.openxmlformats.org/officeDocument/2006/relationships/hyperlink" Target="https://www.boletinoficial.gob.ar/detalleAviso/primera/332807/20251014" TargetMode="External"/><Relationship Id="rId26" Type="http://schemas.openxmlformats.org/officeDocument/2006/relationships/vmlDrawing" Target="../drawings/vmlDrawing1.vml"/><Relationship Id="rId3" Type="http://schemas.openxmlformats.org/officeDocument/2006/relationships/hyperlink" Target="https://www.boletinoficial.gob.ar/detalleAviso/primera/337468/20260115" TargetMode="External"/><Relationship Id="rId21" Type="http://schemas.openxmlformats.org/officeDocument/2006/relationships/hyperlink" Target="https://www.boletinoficial.gob.ar/detalleAviso/primera/345279/20260731" TargetMode="External"/><Relationship Id="rId7" Type="http://schemas.openxmlformats.org/officeDocument/2006/relationships/hyperlink" Target="https://www.boletinoficial.gob.ar/detalleAviso/primera/328690/20250722" TargetMode="External"/><Relationship Id="rId12" Type="http://schemas.openxmlformats.org/officeDocument/2006/relationships/hyperlink" Target="https://www.boletinoficial.gob.ar/detalleAviso/primera/322830/20250321" TargetMode="External"/><Relationship Id="rId17" Type="http://schemas.openxmlformats.org/officeDocument/2006/relationships/hyperlink" Target="https://www.boletinoficial.gob.ar/detalleAviso/primera/345167/20260730" TargetMode="External"/><Relationship Id="rId25" Type="http://schemas.openxmlformats.org/officeDocument/2006/relationships/drawing" Target="../drawings/drawing1.xml"/><Relationship Id="rId2" Type="http://schemas.openxmlformats.org/officeDocument/2006/relationships/hyperlink" Target="https://www.boletinoficial.gob.ar/detalleAviso/primera/341756/20260511" TargetMode="External"/><Relationship Id="rId16" Type="http://schemas.openxmlformats.org/officeDocument/2006/relationships/hyperlink" Target="https://www.boletinoficial.gob.ar/detalleAviso/primera/345075/20260729" TargetMode="External"/><Relationship Id="rId20" Type="http://schemas.openxmlformats.org/officeDocument/2006/relationships/hyperlink" Target="https://econojournal.com.ar/oilgas/vista-energy-pidio-la-adhesion-al-rigi-para-un-proyecto-de-us-5-800-millones-en-vaca-muerta/" TargetMode="External"/><Relationship Id="rId29" Type="http://schemas.microsoft.com/office/2017/10/relationships/threadedComment" Target="../threadedComments/threadedComment1.xml"/><Relationship Id="rId1" Type="http://schemas.openxmlformats.org/officeDocument/2006/relationships/hyperlink" Target="https://www.boletinoficial.gob.ar/detalleAviso/primera/341877/20260513" TargetMode="External"/><Relationship Id="rId6" Type="http://schemas.openxmlformats.org/officeDocument/2006/relationships/hyperlink" Target="https://www.boletinoficial.gob.ar/detalleAviso/primera/324772/20250505" TargetMode="External"/><Relationship Id="rId11" Type="http://schemas.openxmlformats.org/officeDocument/2006/relationships/hyperlink" Target="https://www.boletinoficial.gob.ar/detalleAviso/primera/334814/20251120" TargetMode="External"/><Relationship Id="rId24" Type="http://schemas.openxmlformats.org/officeDocument/2006/relationships/hyperlink" Target="https://www.boletinoficial.gob.ar/detalleAviso/primera/348768/20261009" TargetMode="External"/><Relationship Id="rId5" Type="http://schemas.openxmlformats.org/officeDocument/2006/relationships/hyperlink" Target="https://www.boletinoficial.gob.ar/detalleAviso/primera/319374/20250108" TargetMode="External"/><Relationship Id="rId15" Type="http://schemas.openxmlformats.org/officeDocument/2006/relationships/hyperlink" Target="https://www.boletinoficial.gob.ar/detalleAviso/primera/344628/20260721" TargetMode="External"/><Relationship Id="rId23" Type="http://schemas.openxmlformats.org/officeDocument/2006/relationships/hyperlink" Target="https://www.boletinoficial.gob.ar/detalleAviso/primera/346966/20260907" TargetMode="External"/><Relationship Id="rId28" Type="http://schemas.openxmlformats.org/officeDocument/2006/relationships/comments" Target="../comments1.xml"/><Relationship Id="rId10" Type="http://schemas.openxmlformats.org/officeDocument/2006/relationships/hyperlink" Target="https://www.boletinoficial.gob.ar/detalleAviso/primera/340329/20260406" TargetMode="External"/><Relationship Id="rId19" Type="http://schemas.openxmlformats.org/officeDocument/2006/relationships/hyperlink" Target="https://www.boletinoficial.gob.ar/detalleAviso/primera/330470/20250828" TargetMode="External"/><Relationship Id="rId4" Type="http://schemas.openxmlformats.org/officeDocument/2006/relationships/hyperlink" Target="https://www.boletinoficial.gob.ar/detalleAviso/primera/330400/20250827" TargetMode="External"/><Relationship Id="rId9" Type="http://schemas.openxmlformats.org/officeDocument/2006/relationships/hyperlink" Target="https://www.boletinoficial.gob.ar/detalleAviso/primera/326364/20250603" TargetMode="External"/><Relationship Id="rId14" Type="http://schemas.openxmlformats.org/officeDocument/2006/relationships/hyperlink" Target="https://www.boletinoficial.gob.ar/detalleAviso/primera/342818/20260605" TargetMode="External"/><Relationship Id="rId22" Type="http://schemas.openxmlformats.org/officeDocument/2006/relationships/hyperlink" Target="https://www.boletinoficial.gob.ar/detalleAviso/primera/343613/20260626" TargetMode="External"/><Relationship Id="rId2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2F29-8880-E54E-B5B1-A7D7707C4679}">
  <dimension ref="A1:AD45"/>
  <sheetViews>
    <sheetView tabSelected="1" topLeftCell="L16" zoomScaleNormal="100" workbookViewId="0">
      <selection activeCell="T17" sqref="T17"/>
    </sheetView>
  </sheetViews>
  <sheetFormatPr baseColWidth="10" defaultRowHeight="15"/>
  <cols>
    <col min="1" max="1" width="21.6640625" customWidth="1"/>
    <col min="2" max="2" width="53" customWidth="1"/>
    <col min="3" max="3" width="55" bestFit="1" customWidth="1"/>
    <col min="4" max="4" width="15.83203125" bestFit="1" customWidth="1"/>
    <col min="5" max="5" width="12.83203125" bestFit="1" customWidth="1"/>
    <col min="6" max="6" width="19.5" bestFit="1" customWidth="1"/>
    <col min="7" max="7" width="11.83203125" customWidth="1"/>
    <col min="9" max="9" width="11" customWidth="1"/>
    <col min="10" max="10" width="36.6640625" customWidth="1"/>
    <col min="11" max="11" width="11.1640625" customWidth="1"/>
    <col min="12" max="12" width="17" customWidth="1"/>
    <col min="13" max="13" width="22.33203125" bestFit="1" customWidth="1"/>
    <col min="14" max="14" width="32.1640625" bestFit="1" customWidth="1"/>
    <col min="15" max="15" width="35.1640625" bestFit="1" customWidth="1"/>
    <col min="16" max="17" width="53.6640625" bestFit="1" customWidth="1"/>
    <col min="18" max="18" width="54.5" bestFit="1" customWidth="1"/>
    <col min="19" max="19" width="21.33203125" customWidth="1"/>
    <col min="20" max="21" width="28" customWidth="1"/>
    <col min="22" max="22" width="19" customWidth="1"/>
    <col min="23" max="23" width="19.6640625" customWidth="1"/>
    <col min="24" max="24" width="21" customWidth="1"/>
    <col min="25" max="25" width="19" customWidth="1"/>
    <col min="26" max="26" width="37.83203125" customWidth="1"/>
    <col min="27" max="27" width="37.6640625" customWidth="1"/>
    <col min="28" max="28" width="12.83203125" customWidth="1"/>
  </cols>
  <sheetData>
    <row r="1" spans="1:30" ht="34">
      <c r="A1" s="6" t="s">
        <v>361</v>
      </c>
      <c r="B1" s="6" t="s">
        <v>362</v>
      </c>
      <c r="C1" s="6" t="s">
        <v>363</v>
      </c>
      <c r="D1" s="6" t="s">
        <v>0</v>
      </c>
      <c r="E1" s="6" t="s">
        <v>1</v>
      </c>
      <c r="F1" s="6" t="s">
        <v>169</v>
      </c>
      <c r="G1" s="6" t="s">
        <v>364</v>
      </c>
      <c r="H1" s="6" t="s">
        <v>2</v>
      </c>
      <c r="I1" s="6" t="s">
        <v>3</v>
      </c>
      <c r="J1" s="6" t="s">
        <v>365</v>
      </c>
      <c r="K1" s="6" t="s">
        <v>4</v>
      </c>
      <c r="L1" s="6" t="s">
        <v>5</v>
      </c>
      <c r="M1" s="6" t="s">
        <v>366</v>
      </c>
      <c r="N1" s="6" t="s">
        <v>367</v>
      </c>
      <c r="O1" s="6" t="s">
        <v>368</v>
      </c>
      <c r="P1" s="6" t="s">
        <v>369</v>
      </c>
      <c r="Q1" s="6" t="s">
        <v>370</v>
      </c>
      <c r="R1" s="6" t="s">
        <v>371</v>
      </c>
      <c r="S1" s="6" t="s">
        <v>372</v>
      </c>
      <c r="T1" s="6" t="s">
        <v>373</v>
      </c>
      <c r="U1" s="18" t="s">
        <v>360</v>
      </c>
      <c r="V1" s="18" t="s">
        <v>6</v>
      </c>
      <c r="W1" s="18" t="s">
        <v>151</v>
      </c>
      <c r="X1" s="18" t="s">
        <v>152</v>
      </c>
      <c r="Y1" s="6" t="s">
        <v>7</v>
      </c>
      <c r="Z1" s="6" t="s">
        <v>374</v>
      </c>
      <c r="AA1" s="6" t="s">
        <v>375</v>
      </c>
      <c r="AB1" s="6" t="s">
        <v>126</v>
      </c>
      <c r="AC1" s="6" t="s">
        <v>376</v>
      </c>
      <c r="AD1" s="6" t="s">
        <v>377</v>
      </c>
    </row>
    <row r="2" spans="1:30" ht="102">
      <c r="A2" s="14" t="s">
        <v>166</v>
      </c>
      <c r="B2" s="14" t="s">
        <v>262</v>
      </c>
      <c r="C2" s="14" t="s">
        <v>156</v>
      </c>
      <c r="D2" s="15">
        <v>1</v>
      </c>
      <c r="E2" s="16" t="s">
        <v>8</v>
      </c>
      <c r="F2" s="14" t="s">
        <v>9</v>
      </c>
      <c r="G2" s="14" t="s">
        <v>168</v>
      </c>
      <c r="H2" s="16" t="s">
        <v>140</v>
      </c>
      <c r="I2" s="14" t="s">
        <v>149</v>
      </c>
      <c r="J2" s="14" t="s">
        <v>167</v>
      </c>
      <c r="K2" s="14" t="s">
        <v>171</v>
      </c>
      <c r="L2" s="14" t="s">
        <v>172</v>
      </c>
      <c r="M2" s="16">
        <v>550</v>
      </c>
      <c r="N2" s="16">
        <v>550</v>
      </c>
      <c r="O2" s="16">
        <v>513</v>
      </c>
      <c r="P2" s="10">
        <v>393.61748899999998</v>
      </c>
      <c r="Q2" s="10">
        <v>30.575689000000001</v>
      </c>
      <c r="R2" s="17">
        <f>SUM(Tabla22[[#This Row],[inversion_activos_computables_comprometida_anio_1_mill_usd]:[inversion_activos_computables_comprometida_anio_2_mill_usd]])</f>
        <v>424.19317799999999</v>
      </c>
      <c r="S2" s="14" t="s">
        <v>14</v>
      </c>
      <c r="T2" s="14">
        <v>7535</v>
      </c>
      <c r="U2" s="18">
        <v>46387</v>
      </c>
      <c r="V2" s="40">
        <v>45957</v>
      </c>
      <c r="W2" s="40">
        <v>46142</v>
      </c>
      <c r="X2" s="40">
        <v>46154</v>
      </c>
      <c r="Y2" s="14" t="s">
        <v>12</v>
      </c>
      <c r="Z2" s="14" t="s">
        <v>144</v>
      </c>
      <c r="AA2" s="14" t="s">
        <v>207</v>
      </c>
      <c r="AB2" s="31" t="s">
        <v>133</v>
      </c>
      <c r="AC2" s="14" t="s">
        <v>226</v>
      </c>
      <c r="AD2" s="6"/>
    </row>
    <row r="3" spans="1:30" ht="102">
      <c r="A3" s="6" t="s">
        <v>15</v>
      </c>
      <c r="B3" s="6" t="s">
        <v>263</v>
      </c>
      <c r="C3" s="6" t="s">
        <v>156</v>
      </c>
      <c r="D3" s="7">
        <v>2</v>
      </c>
      <c r="E3" s="8" t="s">
        <v>16</v>
      </c>
      <c r="F3" s="6" t="s">
        <v>17</v>
      </c>
      <c r="G3" s="6" t="s">
        <v>173</v>
      </c>
      <c r="H3" s="8" t="s">
        <v>18</v>
      </c>
      <c r="I3" s="6" t="s">
        <v>163</v>
      </c>
      <c r="J3" s="6" t="s">
        <v>153</v>
      </c>
      <c r="K3" s="6" t="s">
        <v>174</v>
      </c>
      <c r="L3" s="6" t="s">
        <v>20</v>
      </c>
      <c r="M3" s="8">
        <v>764</v>
      </c>
      <c r="N3" s="8">
        <v>482</v>
      </c>
      <c r="O3" s="8">
        <v>482</v>
      </c>
      <c r="P3" s="10">
        <v>98.5</v>
      </c>
      <c r="Q3" s="10">
        <v>253.9</v>
      </c>
      <c r="R3" s="10">
        <f>SUM(Tabla22[[#This Row],[inversion_activos_computables_comprometida_anio_1_mill_usd]:[inversion_activos_computables_comprometida_anio_2_mill_usd]])</f>
        <v>352.4</v>
      </c>
      <c r="S3" s="6" t="s">
        <v>14</v>
      </c>
      <c r="T3" s="6">
        <v>2013</v>
      </c>
      <c r="U3" s="18">
        <v>46721</v>
      </c>
      <c r="V3" s="18">
        <v>45981</v>
      </c>
      <c r="W3" s="18">
        <v>46080</v>
      </c>
      <c r="X3" s="18">
        <v>46149</v>
      </c>
      <c r="Y3" s="6" t="s">
        <v>21</v>
      </c>
      <c r="Z3" s="6" t="s">
        <v>156</v>
      </c>
      <c r="AA3" s="6" t="s">
        <v>208</v>
      </c>
      <c r="AB3" s="32" t="s">
        <v>134</v>
      </c>
      <c r="AC3" s="6" t="s">
        <v>227</v>
      </c>
      <c r="AD3" s="6"/>
    </row>
    <row r="4" spans="1:30" ht="102">
      <c r="A4" s="6" t="s">
        <v>165</v>
      </c>
      <c r="B4" s="6" t="s">
        <v>261</v>
      </c>
      <c r="C4" s="6" t="s">
        <v>156</v>
      </c>
      <c r="D4" s="15">
        <v>3</v>
      </c>
      <c r="E4" s="8" t="s">
        <v>22</v>
      </c>
      <c r="F4" s="6" t="s">
        <v>23</v>
      </c>
      <c r="G4" s="6" t="s">
        <v>164</v>
      </c>
      <c r="H4" s="8" t="s">
        <v>18</v>
      </c>
      <c r="I4" s="6" t="s">
        <v>163</v>
      </c>
      <c r="J4" s="6" t="s">
        <v>153</v>
      </c>
      <c r="K4" s="6" t="s">
        <v>24</v>
      </c>
      <c r="L4" s="6" t="s">
        <v>25</v>
      </c>
      <c r="M4" s="8">
        <v>665</v>
      </c>
      <c r="N4" s="8">
        <v>520</v>
      </c>
      <c r="O4" s="8">
        <v>520</v>
      </c>
      <c r="P4" s="10">
        <v>46.741253999999998</v>
      </c>
      <c r="Q4" s="10">
        <v>43.858696000000002</v>
      </c>
      <c r="R4" s="10">
        <f>SUM(Tabla22[[#This Row],[inversion_activos_computables_comprometida_anio_1_mill_usd]:[inversion_activos_computables_comprometida_anio_2_mill_usd]])</f>
        <v>90.599950000000007</v>
      </c>
      <c r="S4" s="6" t="s">
        <v>14</v>
      </c>
      <c r="T4" s="6">
        <v>4500</v>
      </c>
      <c r="U4" s="18">
        <v>47118</v>
      </c>
      <c r="V4" s="18">
        <v>45814</v>
      </c>
      <c r="W4" s="18">
        <v>45988</v>
      </c>
      <c r="X4" s="18">
        <v>46035</v>
      </c>
      <c r="Y4" s="6" t="s">
        <v>26</v>
      </c>
      <c r="Z4" s="6" t="s">
        <v>156</v>
      </c>
      <c r="AA4" s="6" t="s">
        <v>206</v>
      </c>
      <c r="AB4" s="32" t="s">
        <v>132</v>
      </c>
      <c r="AC4" s="6" t="s">
        <v>225</v>
      </c>
      <c r="AD4" s="6"/>
    </row>
    <row r="5" spans="1:30" ht="238">
      <c r="A5" s="6" t="s">
        <v>27</v>
      </c>
      <c r="B5" s="6" t="s">
        <v>266</v>
      </c>
      <c r="C5" s="6" t="s">
        <v>156</v>
      </c>
      <c r="D5" s="7">
        <v>4</v>
      </c>
      <c r="E5" s="8" t="s">
        <v>28</v>
      </c>
      <c r="F5" s="6" t="s">
        <v>29</v>
      </c>
      <c r="G5" s="6" t="s">
        <v>187</v>
      </c>
      <c r="H5" s="8" t="s">
        <v>10</v>
      </c>
      <c r="I5" s="6" t="s">
        <v>30</v>
      </c>
      <c r="J5" s="6" t="s">
        <v>30</v>
      </c>
      <c r="K5" s="6" t="s">
        <v>31</v>
      </c>
      <c r="L5" s="6" t="s">
        <v>32</v>
      </c>
      <c r="M5" s="8">
        <v>276</v>
      </c>
      <c r="N5" s="8">
        <v>276</v>
      </c>
      <c r="O5" s="8">
        <v>255</v>
      </c>
      <c r="P5" s="10">
        <v>80.371903000000003</v>
      </c>
      <c r="Q5" s="10">
        <v>136.091475</v>
      </c>
      <c r="R5" s="10">
        <f>SUM(Tabla22[[#This Row],[inversion_activos_computables_comprometida_anio_1_mill_usd]:[inversion_activos_computables_comprometida_anio_2_mill_usd]])</f>
        <v>216.46337800000001</v>
      </c>
      <c r="S5" s="6" t="s">
        <v>14</v>
      </c>
      <c r="T5" s="6">
        <v>165</v>
      </c>
      <c r="U5" s="18">
        <v>46721</v>
      </c>
      <c r="V5" s="18">
        <v>45656</v>
      </c>
      <c r="W5" s="18">
        <v>45863</v>
      </c>
      <c r="X5" s="18">
        <v>45895</v>
      </c>
      <c r="Y5" s="6" t="s">
        <v>33</v>
      </c>
      <c r="Z5" s="6" t="s">
        <v>156</v>
      </c>
      <c r="AA5" s="6" t="s">
        <v>212</v>
      </c>
      <c r="AB5" s="32" t="s">
        <v>137</v>
      </c>
      <c r="AC5" s="6" t="s">
        <v>231</v>
      </c>
      <c r="AD5" s="6"/>
    </row>
    <row r="6" spans="1:30" ht="102">
      <c r="A6" s="14" t="s">
        <v>34</v>
      </c>
      <c r="B6" s="14" t="s">
        <v>269</v>
      </c>
      <c r="C6" s="14" t="s">
        <v>156</v>
      </c>
      <c r="D6" s="15">
        <v>5</v>
      </c>
      <c r="E6" s="16" t="s">
        <v>454</v>
      </c>
      <c r="F6" s="14" t="s">
        <v>35</v>
      </c>
      <c r="G6" s="14" t="s">
        <v>191</v>
      </c>
      <c r="H6" s="16" t="s">
        <v>10</v>
      </c>
      <c r="I6" s="14" t="s">
        <v>192</v>
      </c>
      <c r="J6" s="14"/>
      <c r="K6" s="14" t="s">
        <v>36</v>
      </c>
      <c r="L6" s="14" t="s">
        <v>25</v>
      </c>
      <c r="M6" s="16">
        <v>211</v>
      </c>
      <c r="N6" s="16">
        <v>212</v>
      </c>
      <c r="O6" s="16">
        <v>212</v>
      </c>
      <c r="P6" s="10">
        <f>Tabla22[[#This Row],[inversion_activos_computables_comprometida_2_anios_mill_usd]]/2</f>
        <v>102.27200000000001</v>
      </c>
      <c r="Q6" s="10">
        <f>Tabla22[[#This Row],[inversion_activos_computables_comprometida_2_anios_mill_usd]]/2</f>
        <v>102.27200000000001</v>
      </c>
      <c r="R6" s="10">
        <v>204.54400000000001</v>
      </c>
      <c r="S6" s="14" t="s">
        <v>14</v>
      </c>
      <c r="T6" s="14">
        <v>384</v>
      </c>
      <c r="U6" s="18">
        <v>46417</v>
      </c>
      <c r="V6" s="40">
        <v>45590</v>
      </c>
      <c r="W6" s="40">
        <v>45642</v>
      </c>
      <c r="X6" s="40">
        <v>45664</v>
      </c>
      <c r="Y6" s="14" t="s">
        <v>37</v>
      </c>
      <c r="Z6" s="14" t="s">
        <v>156</v>
      </c>
      <c r="AA6" s="14" t="s">
        <v>215</v>
      </c>
      <c r="AB6" s="31" t="s">
        <v>125</v>
      </c>
      <c r="AC6" s="14" t="s">
        <v>234</v>
      </c>
      <c r="AD6" s="6"/>
    </row>
    <row r="7" spans="1:30" ht="221">
      <c r="A7" s="14" t="s">
        <v>38</v>
      </c>
      <c r="B7" s="14" t="s">
        <v>257</v>
      </c>
      <c r="C7" s="14" t="s">
        <v>144</v>
      </c>
      <c r="D7" s="7">
        <v>6</v>
      </c>
      <c r="E7" s="16" t="s">
        <v>39</v>
      </c>
      <c r="F7" s="14" t="s">
        <v>147</v>
      </c>
      <c r="G7" s="14" t="s">
        <v>142</v>
      </c>
      <c r="H7" s="16" t="s">
        <v>140</v>
      </c>
      <c r="I7" s="14" t="s">
        <v>146</v>
      </c>
      <c r="J7" s="14" t="s">
        <v>143</v>
      </c>
      <c r="K7" s="14" t="s">
        <v>40</v>
      </c>
      <c r="L7" s="14" t="s">
        <v>11</v>
      </c>
      <c r="M7" s="16">
        <v>15156</v>
      </c>
      <c r="N7" s="16">
        <v>6878</v>
      </c>
      <c r="O7" s="16">
        <v>2825</v>
      </c>
      <c r="P7" s="10">
        <v>105</v>
      </c>
      <c r="Q7" s="10">
        <v>354</v>
      </c>
      <c r="R7" s="17">
        <f>SUM(Tabla22[[#This Row],[inversion_activos_computables_comprometida_anio_1_mill_usd]:[inversion_activos_computables_comprometida_anio_2_mill_usd]])</f>
        <v>459</v>
      </c>
      <c r="S7" s="14" t="s">
        <v>14</v>
      </c>
      <c r="T7" s="14">
        <v>836</v>
      </c>
      <c r="U7" s="18">
        <v>49674</v>
      </c>
      <c r="V7" s="40">
        <v>45617</v>
      </c>
      <c r="W7" s="40">
        <v>45775</v>
      </c>
      <c r="X7" s="40">
        <v>45776</v>
      </c>
      <c r="Y7" s="14" t="s">
        <v>41</v>
      </c>
      <c r="Z7" s="14" t="s">
        <v>156</v>
      </c>
      <c r="AA7" s="14" t="s">
        <v>200</v>
      </c>
      <c r="AB7" s="33" t="s">
        <v>128</v>
      </c>
      <c r="AC7" s="14" t="s">
        <v>220</v>
      </c>
      <c r="AD7" s="6"/>
    </row>
    <row r="8" spans="1:30" ht="153">
      <c r="A8" s="6" t="s">
        <v>42</v>
      </c>
      <c r="B8" s="6" t="s">
        <v>264</v>
      </c>
      <c r="C8" s="6" t="s">
        <v>156</v>
      </c>
      <c r="D8" s="15">
        <v>7</v>
      </c>
      <c r="E8" s="8" t="s">
        <v>43</v>
      </c>
      <c r="F8" s="6" t="s">
        <v>44</v>
      </c>
      <c r="G8" s="6" t="s">
        <v>181</v>
      </c>
      <c r="H8" s="8" t="s">
        <v>45</v>
      </c>
      <c r="I8" s="6" t="s">
        <v>45</v>
      </c>
      <c r="J8" s="6" t="s">
        <v>182</v>
      </c>
      <c r="K8" s="6" t="s">
        <v>31</v>
      </c>
      <c r="L8" s="6" t="s">
        <v>31</v>
      </c>
      <c r="M8" s="8">
        <v>286</v>
      </c>
      <c r="N8" s="8">
        <v>286</v>
      </c>
      <c r="O8" s="8">
        <v>286</v>
      </c>
      <c r="P8" s="10">
        <v>142.874</v>
      </c>
      <c r="Q8" s="10">
        <v>127.334</v>
      </c>
      <c r="R8" s="10">
        <f>SUM(Tabla22[[#This Row],[inversion_activos_computables_comprometida_anio_1_mill_usd]:[inversion_activos_computables_comprometida_anio_2_mill_usd]])</f>
        <v>270.20799999999997</v>
      </c>
      <c r="S8" s="6" t="s">
        <v>14</v>
      </c>
      <c r="T8" s="6">
        <v>3800</v>
      </c>
      <c r="U8" s="18">
        <v>46326</v>
      </c>
      <c r="V8" s="18">
        <v>45638</v>
      </c>
      <c r="W8" s="18">
        <v>45807</v>
      </c>
      <c r="X8" s="18">
        <v>45859</v>
      </c>
      <c r="Y8" s="6" t="s">
        <v>46</v>
      </c>
      <c r="Z8" s="6" t="s">
        <v>156</v>
      </c>
      <c r="AA8" s="6" t="s">
        <v>210</v>
      </c>
      <c r="AB8" s="34" t="s">
        <v>139</v>
      </c>
      <c r="AC8" s="6" t="s">
        <v>229</v>
      </c>
      <c r="AD8" s="6"/>
    </row>
    <row r="9" spans="1:30" ht="119">
      <c r="A9" s="14" t="s">
        <v>47</v>
      </c>
      <c r="B9" s="14" t="s">
        <v>162</v>
      </c>
      <c r="C9" s="14" t="s">
        <v>156</v>
      </c>
      <c r="D9" s="7">
        <v>8</v>
      </c>
      <c r="E9" s="16" t="s">
        <v>48</v>
      </c>
      <c r="F9" s="14" t="s">
        <v>49</v>
      </c>
      <c r="G9" s="14" t="s">
        <v>161</v>
      </c>
      <c r="H9" s="16" t="s">
        <v>18</v>
      </c>
      <c r="I9" s="14" t="s">
        <v>50</v>
      </c>
      <c r="J9" s="14" t="s">
        <v>153</v>
      </c>
      <c r="K9" s="14" t="s">
        <v>36</v>
      </c>
      <c r="L9" s="14" t="s">
        <v>25</v>
      </c>
      <c r="M9" s="16">
        <v>891</v>
      </c>
      <c r="N9" s="16">
        <v>613</v>
      </c>
      <c r="O9" s="16">
        <v>613</v>
      </c>
      <c r="P9" s="10">
        <v>40.542000000000002</v>
      </c>
      <c r="Q9" s="10">
        <v>148.056566</v>
      </c>
      <c r="R9" s="17">
        <f>SUM(Tabla22[[#This Row],[inversion_activos_computables_comprometida_anio_1_mill_usd]:[inversion_activos_computables_comprometida_anio_2_mill_usd]])</f>
        <v>188.59856600000001</v>
      </c>
      <c r="S9" s="14" t="s">
        <v>14</v>
      </c>
      <c r="T9" s="14">
        <v>6300</v>
      </c>
      <c r="U9" s="18">
        <v>46997</v>
      </c>
      <c r="V9" s="40">
        <v>45967</v>
      </c>
      <c r="W9" s="40">
        <v>46155</v>
      </c>
      <c r="X9" s="40">
        <v>46168</v>
      </c>
      <c r="Y9" s="14" t="s">
        <v>51</v>
      </c>
      <c r="Z9" s="14" t="s">
        <v>156</v>
      </c>
      <c r="AA9" s="14" t="s">
        <v>205</v>
      </c>
      <c r="AB9" s="31" t="s">
        <v>131</v>
      </c>
      <c r="AC9" s="14" t="s">
        <v>224</v>
      </c>
      <c r="AD9" s="6"/>
    </row>
    <row r="10" spans="1:30" ht="136">
      <c r="A10" s="6" t="s">
        <v>159</v>
      </c>
      <c r="B10" s="6" t="s">
        <v>260</v>
      </c>
      <c r="C10" s="6" t="s">
        <v>144</v>
      </c>
      <c r="D10" s="15">
        <v>9</v>
      </c>
      <c r="E10" s="8" t="s">
        <v>52</v>
      </c>
      <c r="F10" s="6" t="s">
        <v>53</v>
      </c>
      <c r="G10" s="6" t="s">
        <v>158</v>
      </c>
      <c r="H10" s="8" t="s">
        <v>18</v>
      </c>
      <c r="I10" s="6" t="s">
        <v>54</v>
      </c>
      <c r="J10" s="6" t="s">
        <v>160</v>
      </c>
      <c r="K10" s="6" t="s">
        <v>19</v>
      </c>
      <c r="L10" s="6" t="s">
        <v>20</v>
      </c>
      <c r="M10" s="8">
        <v>2744</v>
      </c>
      <c r="N10" s="8">
        <v>2744</v>
      </c>
      <c r="O10" s="8">
        <v>2299</v>
      </c>
      <c r="P10" s="10">
        <v>516.96396300000004</v>
      </c>
      <c r="Q10" s="10">
        <v>776.54763100000002</v>
      </c>
      <c r="R10" s="10">
        <f>SUM(Tabla22[[#This Row],[inversion_activos_computables_comprometida_anio_1_mill_usd]:[inversion_activos_computables_comprometida_anio_2_mill_usd]])</f>
        <v>1293.5115940000001</v>
      </c>
      <c r="S10" s="6" t="s">
        <v>14</v>
      </c>
      <c r="T10" s="6">
        <v>1985</v>
      </c>
      <c r="U10" s="18">
        <v>47299</v>
      </c>
      <c r="V10" s="18">
        <v>45713</v>
      </c>
      <c r="W10" s="18">
        <v>45796</v>
      </c>
      <c r="X10" s="18">
        <v>45807</v>
      </c>
      <c r="Y10" s="6" t="s">
        <v>55</v>
      </c>
      <c r="Z10" s="6" t="s">
        <v>144</v>
      </c>
      <c r="AA10" s="6" t="s">
        <v>204</v>
      </c>
      <c r="AB10" s="32" t="s">
        <v>130</v>
      </c>
      <c r="AC10" s="6" t="s">
        <v>223</v>
      </c>
      <c r="AD10" s="6"/>
    </row>
    <row r="11" spans="1:30" ht="255">
      <c r="A11" s="14" t="s">
        <v>278</v>
      </c>
      <c r="B11" s="14" t="s">
        <v>267</v>
      </c>
      <c r="C11" s="14" t="s">
        <v>156</v>
      </c>
      <c r="D11" s="7">
        <v>10</v>
      </c>
      <c r="E11" s="16" t="s">
        <v>52</v>
      </c>
      <c r="F11" s="14" t="s">
        <v>188</v>
      </c>
      <c r="G11" s="14" t="s">
        <v>189</v>
      </c>
      <c r="H11" s="16" t="s">
        <v>18</v>
      </c>
      <c r="I11" s="14" t="s">
        <v>54</v>
      </c>
      <c r="J11" s="14" t="s">
        <v>160</v>
      </c>
      <c r="K11" s="14" t="s">
        <v>56</v>
      </c>
      <c r="L11" s="14" t="s">
        <v>20</v>
      </c>
      <c r="M11" s="16">
        <v>531</v>
      </c>
      <c r="N11" s="16">
        <v>251</v>
      </c>
      <c r="O11" s="16">
        <v>251</v>
      </c>
      <c r="P11" s="10">
        <v>92.662282000000005</v>
      </c>
      <c r="Q11" s="10">
        <v>0</v>
      </c>
      <c r="R11" s="17">
        <f>SUM(Tabla22[[#This Row],[inversion_activos_computables_comprometida_anio_1_mill_usd]:[inversion_activos_computables_comprometida_anio_2_mill_usd]])</f>
        <v>92.662282000000005</v>
      </c>
      <c r="S11" s="14" t="s">
        <v>14</v>
      </c>
      <c r="T11" s="14">
        <v>1273</v>
      </c>
      <c r="U11" s="18">
        <v>46357</v>
      </c>
      <c r="V11" s="40">
        <v>45898</v>
      </c>
      <c r="W11" s="40">
        <v>46106</v>
      </c>
      <c r="X11" s="40">
        <v>46112</v>
      </c>
      <c r="Y11" s="14" t="s">
        <v>57</v>
      </c>
      <c r="Z11" s="14" t="s">
        <v>144</v>
      </c>
      <c r="AA11" s="14" t="s">
        <v>213</v>
      </c>
      <c r="AB11" s="31" t="s">
        <v>136</v>
      </c>
      <c r="AC11" s="14" t="s">
        <v>232</v>
      </c>
      <c r="AD11" s="6"/>
    </row>
    <row r="12" spans="1:30" ht="136">
      <c r="A12" s="14" t="s">
        <v>184</v>
      </c>
      <c r="B12" s="14" t="s">
        <v>265</v>
      </c>
      <c r="C12" s="14" t="s">
        <v>156</v>
      </c>
      <c r="D12" s="15">
        <v>11</v>
      </c>
      <c r="E12" s="16" t="s">
        <v>58</v>
      </c>
      <c r="F12" s="14" t="s">
        <v>59</v>
      </c>
      <c r="G12" s="14" t="s">
        <v>183</v>
      </c>
      <c r="H12" s="16" t="s">
        <v>60</v>
      </c>
      <c r="I12" s="14" t="s">
        <v>61</v>
      </c>
      <c r="J12" s="14" t="s">
        <v>185</v>
      </c>
      <c r="K12" s="14" t="s">
        <v>62</v>
      </c>
      <c r="L12" s="14" t="s">
        <v>32</v>
      </c>
      <c r="M12" s="16">
        <v>277</v>
      </c>
      <c r="N12" s="16">
        <v>277</v>
      </c>
      <c r="O12" s="16">
        <v>277</v>
      </c>
      <c r="P12" s="10">
        <v>91.70244649</v>
      </c>
      <c r="Q12" s="10">
        <v>74.2</v>
      </c>
      <c r="R12" s="17">
        <f>SUM(Tabla22[[#This Row],[inversion_activos_computables_comprometida_anio_1_mill_usd]:[inversion_activos_computables_comprometida_anio_2_mill_usd]])</f>
        <v>165.90244648999999</v>
      </c>
      <c r="S12" s="14" t="s">
        <v>14</v>
      </c>
      <c r="T12" s="14">
        <v>9700</v>
      </c>
      <c r="U12" s="18">
        <v>46478</v>
      </c>
      <c r="V12" s="40">
        <v>45757</v>
      </c>
      <c r="W12" s="40">
        <v>45953</v>
      </c>
      <c r="X12" s="40">
        <v>45980</v>
      </c>
      <c r="Y12" s="14" t="s">
        <v>63</v>
      </c>
      <c r="Z12" s="14" t="s">
        <v>156</v>
      </c>
      <c r="AA12" s="14" t="s">
        <v>211</v>
      </c>
      <c r="AB12" s="31" t="s">
        <v>138</v>
      </c>
      <c r="AC12" s="14" t="s">
        <v>230</v>
      </c>
      <c r="AD12" s="6"/>
    </row>
    <row r="13" spans="1:30" ht="372">
      <c r="A13" s="6" t="s">
        <v>150</v>
      </c>
      <c r="B13" s="6" t="s">
        <v>258</v>
      </c>
      <c r="C13" s="6" t="s">
        <v>144</v>
      </c>
      <c r="D13" s="7">
        <v>12</v>
      </c>
      <c r="E13" s="8" t="s">
        <v>64</v>
      </c>
      <c r="F13" s="6" t="s">
        <v>65</v>
      </c>
      <c r="G13" s="6" t="s">
        <v>351</v>
      </c>
      <c r="H13" s="8" t="s">
        <v>140</v>
      </c>
      <c r="I13" s="6" t="s">
        <v>149</v>
      </c>
      <c r="J13" s="6" t="s">
        <v>148</v>
      </c>
      <c r="K13" s="6" t="s">
        <v>40</v>
      </c>
      <c r="L13" s="6" t="s">
        <v>11</v>
      </c>
      <c r="M13" s="8">
        <v>2900</v>
      </c>
      <c r="N13" s="8">
        <v>3050</v>
      </c>
      <c r="O13" s="8">
        <v>2486</v>
      </c>
      <c r="P13" s="10">
        <v>1318</v>
      </c>
      <c r="Q13" s="10">
        <v>1123</v>
      </c>
      <c r="R13" s="10">
        <f>SUM(Tabla22[[#This Row],[inversion_activos_computables_comprometida_anio_1_mill_usd]:[inversion_activos_computables_comprometida_anio_2_mill_usd]])</f>
        <v>2441</v>
      </c>
      <c r="S13" s="6" t="s">
        <v>14</v>
      </c>
      <c r="T13" s="6">
        <v>3108</v>
      </c>
      <c r="U13" s="18">
        <v>47118</v>
      </c>
      <c r="V13" s="18">
        <v>45611</v>
      </c>
      <c r="W13" s="18">
        <v>45722</v>
      </c>
      <c r="X13" s="18">
        <v>45736</v>
      </c>
      <c r="Y13" s="6" t="s">
        <v>66</v>
      </c>
      <c r="Z13" s="6" t="s">
        <v>156</v>
      </c>
      <c r="AA13" s="6" t="s">
        <v>201</v>
      </c>
      <c r="AB13" s="32" t="s">
        <v>127</v>
      </c>
      <c r="AC13" s="6" t="s">
        <v>221</v>
      </c>
      <c r="AD13" s="6"/>
    </row>
    <row r="14" spans="1:30" ht="153">
      <c r="A14" s="14" t="s">
        <v>177</v>
      </c>
      <c r="B14" s="14" t="s">
        <v>180</v>
      </c>
      <c r="C14" s="14" t="s">
        <v>156</v>
      </c>
      <c r="D14" s="15">
        <v>13</v>
      </c>
      <c r="E14" s="16" t="s">
        <v>67</v>
      </c>
      <c r="F14" s="14" t="s">
        <v>179</v>
      </c>
      <c r="G14" s="14" t="s">
        <v>176</v>
      </c>
      <c r="H14" s="16" t="s">
        <v>18</v>
      </c>
      <c r="I14" s="14" t="s">
        <v>163</v>
      </c>
      <c r="J14" s="14" t="s">
        <v>178</v>
      </c>
      <c r="K14" s="14" t="s">
        <v>24</v>
      </c>
      <c r="L14" s="14" t="s">
        <v>25</v>
      </c>
      <c r="M14" s="16">
        <v>436</v>
      </c>
      <c r="N14" s="16">
        <v>380</v>
      </c>
      <c r="O14" s="16">
        <v>380</v>
      </c>
      <c r="P14" s="10">
        <v>79.228583</v>
      </c>
      <c r="Q14" s="10">
        <v>83.169123999999996</v>
      </c>
      <c r="R14" s="17">
        <f>SUM(Tabla22[[#This Row],[inversion_activos_computables_comprometida_anio_1_mill_usd]:[inversion_activos_computables_comprometida_anio_2_mill_usd]])</f>
        <v>162.397707</v>
      </c>
      <c r="S14" s="14" t="s">
        <v>14</v>
      </c>
      <c r="T14" s="14">
        <v>1048</v>
      </c>
      <c r="U14" s="18">
        <v>47118</v>
      </c>
      <c r="V14" s="40">
        <v>45873</v>
      </c>
      <c r="W14" s="40">
        <v>46050</v>
      </c>
      <c r="X14" s="40">
        <v>46111</v>
      </c>
      <c r="Y14" s="14" t="s">
        <v>68</v>
      </c>
      <c r="Z14" s="14" t="s">
        <v>144</v>
      </c>
      <c r="AA14" s="14" t="s">
        <v>209</v>
      </c>
      <c r="AB14" s="31" t="s">
        <v>175</v>
      </c>
      <c r="AC14" s="14" t="s">
        <v>228</v>
      </c>
      <c r="AD14" s="6"/>
    </row>
    <row r="15" spans="1:30" ht="409.6">
      <c r="A15" s="6" t="s">
        <v>76</v>
      </c>
      <c r="B15" s="6" t="s">
        <v>293</v>
      </c>
      <c r="C15" s="6"/>
      <c r="D15" s="7">
        <v>14</v>
      </c>
      <c r="E15" s="6" t="s">
        <v>455</v>
      </c>
      <c r="F15" s="6" t="s">
        <v>294</v>
      </c>
      <c r="G15" s="6"/>
      <c r="H15" s="8" t="s">
        <v>18</v>
      </c>
      <c r="I15" s="6" t="s">
        <v>54</v>
      </c>
      <c r="J15" s="6"/>
      <c r="K15" s="6" t="s">
        <v>19</v>
      </c>
      <c r="L15" s="6" t="s">
        <v>20</v>
      </c>
      <c r="M15" s="8">
        <v>726</v>
      </c>
      <c r="N15" s="8">
        <v>726</v>
      </c>
      <c r="O15" s="8"/>
      <c r="P15" s="10"/>
      <c r="Q15" s="10"/>
      <c r="R15" s="10">
        <f>SUM(Tabla22[[#This Row],[inversion_activos_computables_comprometida_anio_1_mill_usd]:[inversion_activos_computables_comprometida_anio_2_mill_usd]])</f>
        <v>0</v>
      </c>
      <c r="S15" s="6" t="s">
        <v>121</v>
      </c>
      <c r="T15" s="6"/>
      <c r="U15" s="18"/>
      <c r="V15" s="18">
        <v>45671</v>
      </c>
      <c r="W15" s="18"/>
      <c r="X15" s="18"/>
      <c r="Y15" s="6"/>
      <c r="Z15" s="6"/>
      <c r="AA15" s="6"/>
      <c r="AB15" s="6"/>
      <c r="AC15" s="6" t="s">
        <v>295</v>
      </c>
      <c r="AD15" s="6" t="s">
        <v>296</v>
      </c>
    </row>
    <row r="16" spans="1:30" ht="409.6">
      <c r="A16" s="14" t="s">
        <v>77</v>
      </c>
      <c r="B16" s="14" t="s">
        <v>297</v>
      </c>
      <c r="C16" s="14"/>
      <c r="D16" s="15">
        <v>15</v>
      </c>
      <c r="E16" s="16" t="s">
        <v>78</v>
      </c>
      <c r="F16" s="14" t="s">
        <v>79</v>
      </c>
      <c r="G16" s="14"/>
      <c r="H16" s="16" t="s">
        <v>18</v>
      </c>
      <c r="I16" s="14" t="s">
        <v>80</v>
      </c>
      <c r="J16" s="14"/>
      <c r="K16" s="14" t="s">
        <v>40</v>
      </c>
      <c r="L16" s="14" t="s">
        <v>11</v>
      </c>
      <c r="M16" s="16">
        <v>232</v>
      </c>
      <c r="N16" s="16">
        <v>232</v>
      </c>
      <c r="O16" s="16"/>
      <c r="P16" s="10"/>
      <c r="Q16" s="10"/>
      <c r="R16" s="17">
        <f>SUM(Tabla22[[#This Row],[inversion_activos_computables_comprometida_anio_1_mill_usd]:[inversion_activos_computables_comprometida_anio_2_mill_usd]])</f>
        <v>0</v>
      </c>
      <c r="S16" s="14" t="s">
        <v>121</v>
      </c>
      <c r="T16" s="14"/>
      <c r="U16" s="18"/>
      <c r="V16" s="40">
        <v>45874</v>
      </c>
      <c r="W16" s="40"/>
      <c r="X16" s="40"/>
      <c r="Y16" s="14"/>
      <c r="Z16" s="14"/>
      <c r="AA16" s="14"/>
      <c r="AB16" s="14"/>
      <c r="AC16" s="14" t="s">
        <v>298</v>
      </c>
      <c r="AD16" s="6" t="s">
        <v>299</v>
      </c>
    </row>
    <row r="17" spans="1:30" ht="409.6">
      <c r="A17" s="35" t="s">
        <v>81</v>
      </c>
      <c r="B17" s="35" t="s">
        <v>508</v>
      </c>
      <c r="C17" s="35" t="s">
        <v>144</v>
      </c>
      <c r="D17" s="35">
        <v>16</v>
      </c>
      <c r="E17" s="35" t="s">
        <v>300</v>
      </c>
      <c r="F17" s="35" t="s">
        <v>509</v>
      </c>
      <c r="G17" s="35" t="s">
        <v>510</v>
      </c>
      <c r="H17" s="35" t="s">
        <v>140</v>
      </c>
      <c r="I17" s="35" t="s">
        <v>301</v>
      </c>
      <c r="J17" s="35" t="s">
        <v>511</v>
      </c>
      <c r="K17" s="35" t="s">
        <v>82</v>
      </c>
      <c r="L17" s="35" t="s">
        <v>512</v>
      </c>
      <c r="M17" s="36">
        <v>12240</v>
      </c>
      <c r="N17" s="36">
        <v>12240</v>
      </c>
      <c r="O17" s="36"/>
      <c r="P17" s="36">
        <v>635</v>
      </c>
      <c r="Q17" s="36">
        <v>892</v>
      </c>
      <c r="R17" s="36">
        <f>SUM(Tabla22[[#This Row],[inversion_activos_computables_comprometida_anio_1_mill_usd]:[inversion_activos_computables_comprometida_anio_2_mill_usd]])</f>
        <v>1527</v>
      </c>
      <c r="S17" s="35" t="s">
        <v>14</v>
      </c>
      <c r="T17" s="35">
        <v>2301</v>
      </c>
      <c r="U17" s="41">
        <v>47238</v>
      </c>
      <c r="V17" s="41">
        <v>46135</v>
      </c>
      <c r="W17" s="41">
        <v>46275</v>
      </c>
      <c r="X17" s="41">
        <v>46314</v>
      </c>
      <c r="Y17" s="35" t="s">
        <v>516</v>
      </c>
      <c r="Z17" s="35" t="s">
        <v>144</v>
      </c>
      <c r="AA17" s="35" t="s">
        <v>513</v>
      </c>
      <c r="AB17" s="35" t="s">
        <v>514</v>
      </c>
      <c r="AC17" s="35" t="s">
        <v>517</v>
      </c>
      <c r="AD17" s="35" t="s">
        <v>515</v>
      </c>
    </row>
    <row r="18" spans="1:30" ht="119">
      <c r="A18" s="14" t="s">
        <v>193</v>
      </c>
      <c r="B18" s="14" t="s">
        <v>346</v>
      </c>
      <c r="C18" s="14" t="s">
        <v>156</v>
      </c>
      <c r="D18" s="15">
        <v>17</v>
      </c>
      <c r="E18" s="16" t="s">
        <v>83</v>
      </c>
      <c r="F18" s="14" t="s">
        <v>195</v>
      </c>
      <c r="G18" s="14" t="s">
        <v>196</v>
      </c>
      <c r="H18" s="16" t="s">
        <v>18</v>
      </c>
      <c r="I18" s="14" t="s">
        <v>54</v>
      </c>
      <c r="J18" s="14" t="s">
        <v>194</v>
      </c>
      <c r="K18" s="14" t="s">
        <v>84</v>
      </c>
      <c r="L18" s="14" t="s">
        <v>20</v>
      </c>
      <c r="M18" s="16">
        <v>1241</v>
      </c>
      <c r="N18" s="16">
        <v>1167</v>
      </c>
      <c r="O18" s="16">
        <v>1167</v>
      </c>
      <c r="P18" s="10">
        <v>37.967590000000001</v>
      </c>
      <c r="Q18" s="10">
        <v>58.787877000000002</v>
      </c>
      <c r="R18" s="17">
        <f>SUM(Tabla22[[#This Row],[inversion_activos_computables_comprometida_anio_1_mill_usd]:[inversion_activos_computables_comprometida_anio_2_mill_usd]])</f>
        <v>96.75546700000001</v>
      </c>
      <c r="S18" s="14" t="s">
        <v>14</v>
      </c>
      <c r="T18" s="14">
        <v>1787</v>
      </c>
      <c r="U18" s="18">
        <v>47665</v>
      </c>
      <c r="V18" s="40">
        <v>45795</v>
      </c>
      <c r="W18" s="40">
        <v>46151</v>
      </c>
      <c r="X18" s="40">
        <v>46177</v>
      </c>
      <c r="Y18" s="14" t="s">
        <v>197</v>
      </c>
      <c r="Z18" s="14" t="s">
        <v>144</v>
      </c>
      <c r="AA18" s="14" t="s">
        <v>216</v>
      </c>
      <c r="AB18" s="31" t="s">
        <v>198</v>
      </c>
      <c r="AC18" s="14" t="s">
        <v>235</v>
      </c>
      <c r="AD18" s="6"/>
    </row>
    <row r="19" spans="1:30" ht="409.6">
      <c r="A19" s="6" t="s">
        <v>85</v>
      </c>
      <c r="B19" s="6" t="s">
        <v>302</v>
      </c>
      <c r="C19" s="6"/>
      <c r="D19" s="7">
        <v>18</v>
      </c>
      <c r="E19" s="8" t="s">
        <v>86</v>
      </c>
      <c r="F19" s="6" t="s">
        <v>87</v>
      </c>
      <c r="G19" s="6"/>
      <c r="H19" s="8" t="s">
        <v>140</v>
      </c>
      <c r="I19" s="6" t="s">
        <v>149</v>
      </c>
      <c r="J19" s="6"/>
      <c r="K19" s="6" t="s">
        <v>303</v>
      </c>
      <c r="L19" s="6" t="s">
        <v>11</v>
      </c>
      <c r="M19" s="8">
        <v>380</v>
      </c>
      <c r="N19" s="8">
        <v>380</v>
      </c>
      <c r="O19" s="8"/>
      <c r="P19" s="10"/>
      <c r="Q19" s="10"/>
      <c r="R19" s="10">
        <f>SUM(Tabla22[[#This Row],[inversion_activos_computables_comprometida_anio_1_mill_usd]:[inversion_activos_computables_comprometida_anio_2_mill_usd]])</f>
        <v>0</v>
      </c>
      <c r="S19" s="6" t="s">
        <v>121</v>
      </c>
      <c r="T19" s="6"/>
      <c r="U19" s="18"/>
      <c r="V19" s="18">
        <v>45859</v>
      </c>
      <c r="W19" s="18"/>
      <c r="X19" s="18"/>
      <c r="Y19" s="6"/>
      <c r="Z19" s="6"/>
      <c r="AA19" s="6"/>
      <c r="AB19" s="6"/>
      <c r="AC19" s="6" t="s">
        <v>304</v>
      </c>
      <c r="AD19" s="6" t="s">
        <v>305</v>
      </c>
    </row>
    <row r="20" spans="1:30" ht="409.6">
      <c r="A20" s="14" t="s">
        <v>88</v>
      </c>
      <c r="B20" s="14" t="s">
        <v>306</v>
      </c>
      <c r="C20" s="14"/>
      <c r="D20" s="15">
        <v>19</v>
      </c>
      <c r="E20" s="16" t="s">
        <v>89</v>
      </c>
      <c r="F20" s="14" t="s">
        <v>90</v>
      </c>
      <c r="G20" s="14"/>
      <c r="H20" s="16" t="s">
        <v>18</v>
      </c>
      <c r="I20" s="14" t="s">
        <v>50</v>
      </c>
      <c r="J20" s="14"/>
      <c r="K20" s="14" t="s">
        <v>24</v>
      </c>
      <c r="L20" s="14" t="s">
        <v>25</v>
      </c>
      <c r="M20" s="16">
        <v>9500</v>
      </c>
      <c r="N20" s="16">
        <v>9500</v>
      </c>
      <c r="O20" s="16"/>
      <c r="P20" s="10"/>
      <c r="Q20" s="10"/>
      <c r="R20" s="17">
        <f>SUM(Tabla22[[#This Row],[inversion_activos_computables_comprometida_anio_1_mill_usd]:[inversion_activos_computables_comprometida_anio_2_mill_usd]])</f>
        <v>0</v>
      </c>
      <c r="S20" s="14" t="s">
        <v>121</v>
      </c>
      <c r="T20" s="14"/>
      <c r="U20" s="18"/>
      <c r="V20" s="40">
        <v>45887</v>
      </c>
      <c r="W20" s="40"/>
      <c r="X20" s="40"/>
      <c r="Y20" s="14"/>
      <c r="Z20" s="14"/>
      <c r="AA20" s="14"/>
      <c r="AB20" s="14"/>
      <c r="AC20" s="14" t="s">
        <v>307</v>
      </c>
      <c r="AD20" s="6" t="s">
        <v>308</v>
      </c>
    </row>
    <row r="21" spans="1:30" ht="409.6">
      <c r="A21" s="6" t="s">
        <v>91</v>
      </c>
      <c r="B21" s="6" t="s">
        <v>309</v>
      </c>
      <c r="C21" s="6"/>
      <c r="D21" s="7">
        <v>20</v>
      </c>
      <c r="E21" s="8" t="s">
        <v>92</v>
      </c>
      <c r="F21" s="6" t="s">
        <v>347</v>
      </c>
      <c r="G21" s="6"/>
      <c r="H21" s="8" t="s">
        <v>140</v>
      </c>
      <c r="I21" s="6" t="s">
        <v>301</v>
      </c>
      <c r="J21" s="6"/>
      <c r="K21" s="6" t="s">
        <v>82</v>
      </c>
      <c r="L21" s="6" t="s">
        <v>11</v>
      </c>
      <c r="M21" s="8">
        <v>13800</v>
      </c>
      <c r="N21" s="8">
        <v>13800</v>
      </c>
      <c r="O21" s="8"/>
      <c r="P21" s="10"/>
      <c r="Q21" s="10"/>
      <c r="R21" s="10">
        <f>SUM(Tabla22[[#This Row],[inversion_activos_computables_comprometida_anio_1_mill_usd]:[inversion_activos_computables_comprometida_anio_2_mill_usd]])</f>
        <v>0</v>
      </c>
      <c r="S21" s="6" t="s">
        <v>121</v>
      </c>
      <c r="T21" s="6"/>
      <c r="U21" s="18"/>
      <c r="V21" s="18">
        <v>46175</v>
      </c>
      <c r="W21" s="18"/>
      <c r="X21" s="18"/>
      <c r="Y21" s="6"/>
      <c r="Z21" s="6"/>
      <c r="AA21" s="6"/>
      <c r="AB21" s="6"/>
      <c r="AC21" s="6" t="s">
        <v>310</v>
      </c>
      <c r="AD21" s="6" t="s">
        <v>311</v>
      </c>
    </row>
    <row r="22" spans="1:30" ht="409.6">
      <c r="A22" s="14" t="s">
        <v>93</v>
      </c>
      <c r="B22" s="14" t="s">
        <v>312</v>
      </c>
      <c r="C22" s="14"/>
      <c r="D22" s="15">
        <v>21</v>
      </c>
      <c r="E22" s="16" t="s">
        <v>313</v>
      </c>
      <c r="F22" s="14" t="s">
        <v>314</v>
      </c>
      <c r="G22" s="14"/>
      <c r="H22" s="16" t="s">
        <v>60</v>
      </c>
      <c r="I22" s="14" t="s">
        <v>94</v>
      </c>
      <c r="J22" s="14"/>
      <c r="K22" s="14" t="s">
        <v>315</v>
      </c>
      <c r="L22" s="14" t="s">
        <v>316</v>
      </c>
      <c r="M22" s="16">
        <v>200</v>
      </c>
      <c r="N22" s="16">
        <v>200</v>
      </c>
      <c r="O22" s="16"/>
      <c r="P22" s="10"/>
      <c r="Q22" s="10"/>
      <c r="R22" s="17">
        <f>SUM(Tabla22[[#This Row],[inversion_activos_computables_comprometida_anio_1_mill_usd]:[inversion_activos_computables_comprometida_anio_2_mill_usd]])</f>
        <v>0</v>
      </c>
      <c r="S22" s="14" t="s">
        <v>121</v>
      </c>
      <c r="T22" s="14"/>
      <c r="U22" s="18"/>
      <c r="V22" s="40" t="s">
        <v>13</v>
      </c>
      <c r="W22" s="40"/>
      <c r="X22" s="40"/>
      <c r="Y22" s="14"/>
      <c r="Z22" s="14"/>
      <c r="AA22" s="14"/>
      <c r="AB22" s="14"/>
      <c r="AC22" s="14" t="s">
        <v>317</v>
      </c>
      <c r="AD22" s="6" t="s">
        <v>318</v>
      </c>
    </row>
    <row r="23" spans="1:30" ht="409.6">
      <c r="A23" s="6" t="s">
        <v>95</v>
      </c>
      <c r="B23" s="6" t="s">
        <v>319</v>
      </c>
      <c r="C23" s="6"/>
      <c r="D23" s="7">
        <v>22</v>
      </c>
      <c r="E23" s="8" t="s">
        <v>96</v>
      </c>
      <c r="F23" s="6" t="s">
        <v>97</v>
      </c>
      <c r="G23" s="6"/>
      <c r="H23" s="8" t="s">
        <v>10</v>
      </c>
      <c r="I23" s="6" t="s">
        <v>30</v>
      </c>
      <c r="J23" s="6"/>
      <c r="K23" s="6" t="s">
        <v>31</v>
      </c>
      <c r="L23" s="6" t="s">
        <v>32</v>
      </c>
      <c r="M23" s="8">
        <v>206</v>
      </c>
      <c r="N23" s="8">
        <v>206</v>
      </c>
      <c r="O23" s="8"/>
      <c r="P23" s="10"/>
      <c r="Q23" s="10"/>
      <c r="R23" s="10">
        <f>SUM(Tabla22[[#This Row],[inversion_activos_computables_comprometida_anio_1_mill_usd]:[inversion_activos_computables_comprometida_anio_2_mill_usd]])</f>
        <v>0</v>
      </c>
      <c r="S23" s="6" t="s">
        <v>121</v>
      </c>
      <c r="T23" s="6"/>
      <c r="U23" s="18"/>
      <c r="V23" s="18">
        <v>45805</v>
      </c>
      <c r="W23" s="18"/>
      <c r="X23" s="18"/>
      <c r="Y23" s="6"/>
      <c r="Z23" s="6"/>
      <c r="AA23" s="6"/>
      <c r="AB23" s="6"/>
      <c r="AC23" s="6" t="s">
        <v>320</v>
      </c>
      <c r="AD23" s="6" t="s">
        <v>321</v>
      </c>
    </row>
    <row r="24" spans="1:30" ht="238">
      <c r="A24" s="6" t="s">
        <v>497</v>
      </c>
      <c r="B24" s="6" t="s">
        <v>505</v>
      </c>
      <c r="C24" s="6" t="s">
        <v>144</v>
      </c>
      <c r="D24" s="7">
        <v>23</v>
      </c>
      <c r="E24" s="8" t="s">
        <v>98</v>
      </c>
      <c r="F24" s="6" t="s">
        <v>498</v>
      </c>
      <c r="G24" s="9" t="s">
        <v>499</v>
      </c>
      <c r="H24" s="8" t="s">
        <v>140</v>
      </c>
      <c r="I24" s="6" t="s">
        <v>301</v>
      </c>
      <c r="J24" s="6" t="s">
        <v>500</v>
      </c>
      <c r="K24" s="6" t="s">
        <v>82</v>
      </c>
      <c r="L24" s="6" t="s">
        <v>501</v>
      </c>
      <c r="M24" s="8">
        <v>6432</v>
      </c>
      <c r="N24" s="8">
        <v>6432</v>
      </c>
      <c r="O24" s="8"/>
      <c r="P24" s="10">
        <v>1182.281332</v>
      </c>
      <c r="Q24" s="10">
        <v>577.93346799999995</v>
      </c>
      <c r="R24" s="10">
        <f>SUM(Tabla22[[#This Row],[inversion_activos_computables_comprometida_anio_1_mill_usd]:[inversion_activos_computables_comprometida_anio_2_mill_usd]])</f>
        <v>1760.2148</v>
      </c>
      <c r="S24" s="6" t="s">
        <v>14</v>
      </c>
      <c r="T24" s="6">
        <v>7900</v>
      </c>
      <c r="U24" s="11">
        <v>46630</v>
      </c>
      <c r="V24" s="18">
        <v>46101</v>
      </c>
      <c r="W24" s="18">
        <v>46274</v>
      </c>
      <c r="X24" s="18">
        <v>46304</v>
      </c>
      <c r="Y24" s="6" t="s">
        <v>506</v>
      </c>
      <c r="Z24" s="6" t="s">
        <v>144</v>
      </c>
      <c r="AA24" s="6" t="s">
        <v>502</v>
      </c>
      <c r="AB24" s="13" t="s">
        <v>503</v>
      </c>
      <c r="AC24" s="6" t="s">
        <v>507</v>
      </c>
      <c r="AD24" s="6" t="s">
        <v>504</v>
      </c>
    </row>
    <row r="25" spans="1:30" ht="409.6">
      <c r="A25" s="6" t="s">
        <v>99</v>
      </c>
      <c r="B25" s="6" t="s">
        <v>322</v>
      </c>
      <c r="C25" s="6"/>
      <c r="D25" s="7">
        <v>24</v>
      </c>
      <c r="E25" s="8" t="s">
        <v>323</v>
      </c>
      <c r="F25" s="6" t="s">
        <v>100</v>
      </c>
      <c r="G25" s="6"/>
      <c r="H25" s="8" t="s">
        <v>18</v>
      </c>
      <c r="I25" s="6" t="s">
        <v>54</v>
      </c>
      <c r="J25" s="6"/>
      <c r="K25" s="6" t="s">
        <v>19</v>
      </c>
      <c r="L25" s="6" t="s">
        <v>20</v>
      </c>
      <c r="M25" s="8">
        <v>4245</v>
      </c>
      <c r="N25" s="8">
        <v>4245</v>
      </c>
      <c r="O25" s="8"/>
      <c r="P25" s="10"/>
      <c r="Q25" s="10"/>
      <c r="R25" s="10">
        <f>SUM(Tabla22[[#This Row],[inversion_activos_computables_comprometida_anio_1_mill_usd]:[inversion_activos_computables_comprometida_anio_2_mill_usd]])</f>
        <v>0</v>
      </c>
      <c r="S25" s="6" t="s">
        <v>121</v>
      </c>
      <c r="T25" s="6"/>
      <c r="U25" s="18"/>
      <c r="V25" s="18">
        <v>46081</v>
      </c>
      <c r="W25" s="18"/>
      <c r="X25" s="18"/>
      <c r="Y25" s="6"/>
      <c r="Z25" s="6"/>
      <c r="AA25" s="6"/>
      <c r="AB25" s="6"/>
      <c r="AC25" s="6" t="s">
        <v>324</v>
      </c>
      <c r="AD25" s="6" t="s">
        <v>325</v>
      </c>
    </row>
    <row r="26" spans="1:30" ht="306">
      <c r="A26" s="14" t="s">
        <v>242</v>
      </c>
      <c r="B26" s="14" t="s">
        <v>247</v>
      </c>
      <c r="C26" s="14" t="s">
        <v>144</v>
      </c>
      <c r="D26" s="15">
        <v>25</v>
      </c>
      <c r="E26" s="16" t="s">
        <v>101</v>
      </c>
      <c r="F26" s="14" t="s">
        <v>102</v>
      </c>
      <c r="G26" s="14" t="s">
        <v>246</v>
      </c>
      <c r="H26" s="16" t="s">
        <v>140</v>
      </c>
      <c r="I26" s="16" t="s">
        <v>140</v>
      </c>
      <c r="J26" s="14" t="s">
        <v>245</v>
      </c>
      <c r="K26" s="14" t="s">
        <v>82</v>
      </c>
      <c r="L26" s="14" t="s">
        <v>11</v>
      </c>
      <c r="M26" s="16">
        <v>4522</v>
      </c>
      <c r="N26" s="16">
        <v>4521</v>
      </c>
      <c r="O26" s="16">
        <v>4521</v>
      </c>
      <c r="P26" s="10">
        <v>521</v>
      </c>
      <c r="Q26" s="10">
        <v>578</v>
      </c>
      <c r="R26" s="17">
        <f>SUM(Tabla22[[#This Row],[inversion_activos_computables_comprometida_anio_1_mill_usd]:[inversion_activos_computables_comprometida_anio_2_mill_usd]])</f>
        <v>1099</v>
      </c>
      <c r="S26" s="14" t="s">
        <v>14</v>
      </c>
      <c r="T26" s="14">
        <v>1733</v>
      </c>
      <c r="U26" s="18">
        <v>48030</v>
      </c>
      <c r="V26" s="40">
        <v>46090</v>
      </c>
      <c r="W26" s="40">
        <v>46198</v>
      </c>
      <c r="X26" s="40">
        <v>46224</v>
      </c>
      <c r="Y26" s="14" t="s">
        <v>279</v>
      </c>
      <c r="Z26" s="14" t="s">
        <v>144</v>
      </c>
      <c r="AA26" s="14" t="s">
        <v>248</v>
      </c>
      <c r="AB26" s="31" t="s">
        <v>244</v>
      </c>
      <c r="AC26" s="14" t="s">
        <v>243</v>
      </c>
      <c r="AD26" s="6"/>
    </row>
    <row r="27" spans="1:30" ht="255">
      <c r="A27" s="6" t="s">
        <v>285</v>
      </c>
      <c r="B27" s="6" t="s">
        <v>287</v>
      </c>
      <c r="C27" s="6" t="s">
        <v>156</v>
      </c>
      <c r="D27" s="7">
        <v>26</v>
      </c>
      <c r="E27" s="8" t="s">
        <v>103</v>
      </c>
      <c r="F27" s="6" t="s">
        <v>286</v>
      </c>
      <c r="G27" s="6" t="s">
        <v>284</v>
      </c>
      <c r="H27" s="8" t="s">
        <v>18</v>
      </c>
      <c r="I27" s="6" t="s">
        <v>54</v>
      </c>
      <c r="J27" s="6" t="s">
        <v>160</v>
      </c>
      <c r="K27" s="6" t="s">
        <v>174</v>
      </c>
      <c r="L27" s="6" t="s">
        <v>20</v>
      </c>
      <c r="M27" s="8">
        <v>547</v>
      </c>
      <c r="N27" s="8">
        <v>547</v>
      </c>
      <c r="O27" s="8">
        <v>208</v>
      </c>
      <c r="P27" s="10">
        <v>90.916876000000002</v>
      </c>
      <c r="Q27" s="10">
        <v>7.0831239999999998</v>
      </c>
      <c r="R27" s="10">
        <f>SUM(Tabla22[[#This Row],[inversion_activos_computables_comprometida_anio_1_mill_usd]:[inversion_activos_computables_comprometida_anio_2_mill_usd]])</f>
        <v>98</v>
      </c>
      <c r="S27" s="6" t="s">
        <v>14</v>
      </c>
      <c r="T27" s="6">
        <v>2335</v>
      </c>
      <c r="U27" s="18">
        <v>47330</v>
      </c>
      <c r="V27" s="18">
        <v>45978</v>
      </c>
      <c r="W27" s="18">
        <v>46185</v>
      </c>
      <c r="X27" s="18">
        <v>46234</v>
      </c>
      <c r="Y27" s="6" t="s">
        <v>283</v>
      </c>
      <c r="Z27" s="6" t="s">
        <v>144</v>
      </c>
      <c r="AA27" s="6" t="s">
        <v>288</v>
      </c>
      <c r="AB27" s="37" t="s">
        <v>282</v>
      </c>
      <c r="AC27" s="6" t="s">
        <v>281</v>
      </c>
      <c r="AD27" s="6"/>
    </row>
    <row r="28" spans="1:30" ht="409.6">
      <c r="A28" s="14" t="s">
        <v>104</v>
      </c>
      <c r="B28" s="14" t="s">
        <v>326</v>
      </c>
      <c r="C28" s="14"/>
      <c r="D28" s="15">
        <v>27</v>
      </c>
      <c r="E28" s="16" t="s">
        <v>52</v>
      </c>
      <c r="F28" s="14" t="s">
        <v>105</v>
      </c>
      <c r="G28" s="14"/>
      <c r="H28" s="16" t="s">
        <v>18</v>
      </c>
      <c r="I28" s="14" t="s">
        <v>54</v>
      </c>
      <c r="J28" s="14"/>
      <c r="K28" s="14" t="s">
        <v>56</v>
      </c>
      <c r="L28" s="14" t="s">
        <v>20</v>
      </c>
      <c r="M28" s="16">
        <v>818</v>
      </c>
      <c r="N28" s="16">
        <v>818</v>
      </c>
      <c r="O28" s="16"/>
      <c r="P28" s="10"/>
      <c r="Q28" s="10"/>
      <c r="R28" s="17">
        <f>SUM(Tabla22[[#This Row],[inversion_activos_computables_comprometida_anio_1_mill_usd]:[inversion_activos_computables_comprometida_anio_2_mill_usd]])</f>
        <v>0</v>
      </c>
      <c r="S28" s="14" t="s">
        <v>121</v>
      </c>
      <c r="T28" s="14"/>
      <c r="U28" s="18"/>
      <c r="V28" s="40">
        <v>45758</v>
      </c>
      <c r="W28" s="40"/>
      <c r="X28" s="40"/>
      <c r="Y28" s="14"/>
      <c r="Z28" s="14"/>
      <c r="AA28" s="14"/>
      <c r="AB28" s="14"/>
      <c r="AC28" s="14" t="s">
        <v>327</v>
      </c>
      <c r="AD28" s="6" t="s">
        <v>328</v>
      </c>
    </row>
    <row r="29" spans="1:30" ht="289">
      <c r="A29" s="6" t="s">
        <v>254</v>
      </c>
      <c r="B29" s="6" t="s">
        <v>256</v>
      </c>
      <c r="C29" s="6"/>
      <c r="D29" s="7">
        <v>28</v>
      </c>
      <c r="E29" s="6" t="s">
        <v>456</v>
      </c>
      <c r="F29" s="6" t="s">
        <v>106</v>
      </c>
      <c r="G29" s="6" t="s">
        <v>253</v>
      </c>
      <c r="H29" s="8" t="s">
        <v>18</v>
      </c>
      <c r="I29" s="6" t="s">
        <v>54</v>
      </c>
      <c r="J29" s="6" t="s">
        <v>160</v>
      </c>
      <c r="K29" s="6" t="s">
        <v>56</v>
      </c>
      <c r="L29" s="6" t="s">
        <v>20</v>
      </c>
      <c r="M29" s="8">
        <v>710</v>
      </c>
      <c r="N29" s="8">
        <v>710</v>
      </c>
      <c r="O29" s="8">
        <v>594</v>
      </c>
      <c r="P29" s="10">
        <v>107.53700000000001</v>
      </c>
      <c r="Q29" s="10">
        <v>308.048</v>
      </c>
      <c r="R29" s="10">
        <f>SUM(Tabla22[[#This Row],[inversion_activos_computables_comprometida_anio_1_mill_usd]:[inversion_activos_computables_comprometida_anio_2_mill_usd]])</f>
        <v>415.58500000000004</v>
      </c>
      <c r="S29" s="6" t="s">
        <v>14</v>
      </c>
      <c r="T29" s="6">
        <v>4406</v>
      </c>
      <c r="U29" s="18">
        <v>46721</v>
      </c>
      <c r="V29" s="18">
        <v>46063</v>
      </c>
      <c r="W29" s="18">
        <v>46206</v>
      </c>
      <c r="X29" s="18">
        <v>46232</v>
      </c>
      <c r="Y29" s="6" t="s">
        <v>252</v>
      </c>
      <c r="Z29" s="6" t="s">
        <v>144</v>
      </c>
      <c r="AA29" s="6" t="s">
        <v>255</v>
      </c>
      <c r="AB29" s="32" t="s">
        <v>251</v>
      </c>
      <c r="AC29" s="6" t="s">
        <v>250</v>
      </c>
      <c r="AD29" s="6"/>
    </row>
    <row r="30" spans="1:30" ht="306">
      <c r="A30" s="14" t="s">
        <v>107</v>
      </c>
      <c r="B30" s="14" t="s">
        <v>280</v>
      </c>
      <c r="C30" s="14" t="s">
        <v>144</v>
      </c>
      <c r="D30" s="15">
        <v>29</v>
      </c>
      <c r="E30" s="16" t="s">
        <v>108</v>
      </c>
      <c r="F30" s="14" t="s">
        <v>109</v>
      </c>
      <c r="G30" s="14" t="s">
        <v>271</v>
      </c>
      <c r="H30" s="16" t="s">
        <v>18</v>
      </c>
      <c r="I30" s="14" t="s">
        <v>272</v>
      </c>
      <c r="J30" s="14" t="s">
        <v>153</v>
      </c>
      <c r="K30" s="14" t="s">
        <v>24</v>
      </c>
      <c r="L30" s="14" t="s">
        <v>25</v>
      </c>
      <c r="M30" s="16">
        <v>9737</v>
      </c>
      <c r="N30" s="16">
        <v>9737</v>
      </c>
      <c r="O30" s="16">
        <v>9025</v>
      </c>
      <c r="P30" s="10">
        <f>Tabla22[[#This Row],[inversion_activos_computables_comprometida_2_anios_mill_usd]]/2</f>
        <v>1004.6565000000001</v>
      </c>
      <c r="Q30" s="10">
        <f>Tabla22[[#This Row],[inversion_activos_computables_comprometida_2_anios_mill_usd]]/2</f>
        <v>1004.6565000000001</v>
      </c>
      <c r="R30" s="10">
        <v>2009.3130000000001</v>
      </c>
      <c r="S30" s="14" t="s">
        <v>14</v>
      </c>
      <c r="T30" s="14">
        <v>31700</v>
      </c>
      <c r="U30" s="18">
        <v>47118</v>
      </c>
      <c r="V30" s="40">
        <v>46002</v>
      </c>
      <c r="W30" s="40">
        <v>46176</v>
      </c>
      <c r="X30" s="40">
        <v>46233</v>
      </c>
      <c r="Y30" s="14" t="s">
        <v>273</v>
      </c>
      <c r="Z30" s="14" t="s">
        <v>144</v>
      </c>
      <c r="AA30" s="14" t="s">
        <v>276</v>
      </c>
      <c r="AB30" s="31" t="s">
        <v>274</v>
      </c>
      <c r="AC30" s="14" t="s">
        <v>275</v>
      </c>
      <c r="AD30" s="6"/>
    </row>
    <row r="31" spans="1:30" ht="409.6">
      <c r="A31" s="14" t="s">
        <v>110</v>
      </c>
      <c r="B31" s="14" t="s">
        <v>329</v>
      </c>
      <c r="C31" s="14"/>
      <c r="D31" s="7">
        <v>30</v>
      </c>
      <c r="E31" s="16" t="s">
        <v>330</v>
      </c>
      <c r="F31" s="38" t="s">
        <v>348</v>
      </c>
      <c r="G31" s="14"/>
      <c r="H31" s="16" t="s">
        <v>140</v>
      </c>
      <c r="I31" s="14" t="s">
        <v>301</v>
      </c>
      <c r="J31" s="14"/>
      <c r="K31" s="14" t="s">
        <v>82</v>
      </c>
      <c r="L31" s="14" t="s">
        <v>11</v>
      </c>
      <c r="M31" s="16">
        <v>1000</v>
      </c>
      <c r="N31" s="16">
        <v>1000</v>
      </c>
      <c r="O31" s="16"/>
      <c r="P31" s="10"/>
      <c r="Q31" s="10"/>
      <c r="R31" s="17">
        <f>SUM(Tabla22[[#This Row],[inversion_activos_computables_comprometida_anio_1_mill_usd]:[inversion_activos_computables_comprometida_anio_2_mill_usd]])</f>
        <v>0</v>
      </c>
      <c r="S31" s="14" t="s">
        <v>121</v>
      </c>
      <c r="T31" s="14"/>
      <c r="U31" s="18"/>
      <c r="V31" s="40">
        <v>46157</v>
      </c>
      <c r="W31" s="40"/>
      <c r="X31" s="40"/>
      <c r="Y31" s="14"/>
      <c r="Z31" s="14"/>
      <c r="AA31" s="14"/>
      <c r="AB31" s="14"/>
      <c r="AC31" s="14" t="s">
        <v>331</v>
      </c>
      <c r="AD31" s="6" t="s">
        <v>332</v>
      </c>
    </row>
    <row r="32" spans="1:30" ht="119">
      <c r="A32" s="14" t="s">
        <v>155</v>
      </c>
      <c r="B32" s="14" t="s">
        <v>259</v>
      </c>
      <c r="C32" s="14" t="s">
        <v>156</v>
      </c>
      <c r="D32" s="15">
        <v>31</v>
      </c>
      <c r="E32" s="16" t="s">
        <v>73</v>
      </c>
      <c r="F32" s="14" t="s">
        <v>74</v>
      </c>
      <c r="G32" s="14" t="s">
        <v>154</v>
      </c>
      <c r="H32" s="16" t="s">
        <v>18</v>
      </c>
      <c r="I32" s="14" t="s">
        <v>50</v>
      </c>
      <c r="J32" s="14" t="s">
        <v>153</v>
      </c>
      <c r="K32" s="14" t="s">
        <v>24</v>
      </c>
      <c r="L32" s="14" t="s">
        <v>25</v>
      </c>
      <c r="M32" s="16">
        <v>2672</v>
      </c>
      <c r="N32" s="16">
        <v>2672</v>
      </c>
      <c r="O32" s="16">
        <v>2354</v>
      </c>
      <c r="P32" s="10">
        <v>33.512551049999999</v>
      </c>
      <c r="Q32" s="10">
        <v>382.26276160999998</v>
      </c>
      <c r="R32" s="17">
        <f>SUM(Tabla22[[#This Row],[inversion_activos_computables_comprometida_anio_1_mill_usd]:[inversion_activos_computables_comprometida_anio_2_mill_usd]])</f>
        <v>415.77531266</v>
      </c>
      <c r="S32" s="14" t="s">
        <v>14</v>
      </c>
      <c r="T32" s="14">
        <v>7391</v>
      </c>
      <c r="U32" s="18">
        <v>46752</v>
      </c>
      <c r="V32" s="40">
        <v>45849</v>
      </c>
      <c r="W32" s="40">
        <v>45925</v>
      </c>
      <c r="X32" s="40">
        <v>45943</v>
      </c>
      <c r="Y32" s="14" t="s">
        <v>75</v>
      </c>
      <c r="Z32" s="14" t="s">
        <v>203</v>
      </c>
      <c r="AA32" s="14" t="s">
        <v>202</v>
      </c>
      <c r="AB32" s="31" t="s">
        <v>129</v>
      </c>
      <c r="AC32" s="14" t="s">
        <v>222</v>
      </c>
      <c r="AD32" s="6"/>
    </row>
    <row r="33" spans="1:30" ht="34">
      <c r="A33" s="6" t="s">
        <v>111</v>
      </c>
      <c r="B33" s="6"/>
      <c r="C33" s="6"/>
      <c r="D33" s="7">
        <v>32</v>
      </c>
      <c r="E33" s="8" t="s">
        <v>112</v>
      </c>
      <c r="F33" s="6" t="s">
        <v>113</v>
      </c>
      <c r="G33" s="6"/>
      <c r="H33" s="8" t="s">
        <v>18</v>
      </c>
      <c r="I33" s="6" t="s">
        <v>54</v>
      </c>
      <c r="J33" s="6"/>
      <c r="K33" s="6" t="s">
        <v>19</v>
      </c>
      <c r="L33" s="6" t="s">
        <v>20</v>
      </c>
      <c r="M33" s="8">
        <v>273</v>
      </c>
      <c r="N33" s="8">
        <v>273</v>
      </c>
      <c r="O33" s="8"/>
      <c r="P33" s="10"/>
      <c r="Q33" s="10"/>
      <c r="R33" s="10">
        <f>SUM(Tabla22[[#This Row],[inversion_activos_computables_comprometida_anio_1_mill_usd]:[inversion_activos_computables_comprometida_anio_2_mill_usd]])</f>
        <v>0</v>
      </c>
      <c r="S33" s="6" t="s">
        <v>114</v>
      </c>
      <c r="T33" s="6"/>
      <c r="U33" s="18"/>
      <c r="V33" s="18">
        <v>45717</v>
      </c>
      <c r="W33" s="18"/>
      <c r="X33" s="18"/>
      <c r="Y33" s="6"/>
      <c r="Z33" s="6"/>
      <c r="AA33" s="6"/>
      <c r="AB33" s="6"/>
      <c r="AC33" s="6" t="s">
        <v>199</v>
      </c>
      <c r="AD33" s="6"/>
    </row>
    <row r="34" spans="1:30" ht="136">
      <c r="A34" s="6" t="s">
        <v>457</v>
      </c>
      <c r="B34" s="6" t="s">
        <v>462</v>
      </c>
      <c r="C34" s="6" t="s">
        <v>156</v>
      </c>
      <c r="D34" s="7">
        <v>33</v>
      </c>
      <c r="E34" s="6" t="s">
        <v>333</v>
      </c>
      <c r="F34" s="6" t="s">
        <v>458</v>
      </c>
      <c r="G34" s="6" t="s">
        <v>459</v>
      </c>
      <c r="H34" s="8" t="s">
        <v>140</v>
      </c>
      <c r="I34" s="6" t="s">
        <v>149</v>
      </c>
      <c r="J34" s="6" t="s">
        <v>461</v>
      </c>
      <c r="K34" s="6" t="s">
        <v>463</v>
      </c>
      <c r="L34" s="14" t="s">
        <v>316</v>
      </c>
      <c r="M34" s="39">
        <v>365.39866899999998</v>
      </c>
      <c r="N34" s="39">
        <v>365.39866899999998</v>
      </c>
      <c r="O34" s="8">
        <v>359.16436099999999</v>
      </c>
      <c r="P34" s="10">
        <v>121.613889</v>
      </c>
      <c r="Q34" s="10">
        <v>152.70910599999999</v>
      </c>
      <c r="R34" s="10">
        <f>SUM(Tabla22[[#This Row],[inversion_activos_computables_comprometida_anio_1_mill_usd]:[inversion_activos_computables_comprometida_anio_2_mill_usd]])</f>
        <v>274.32299499999999</v>
      </c>
      <c r="S34" s="6" t="s">
        <v>14</v>
      </c>
      <c r="T34" s="8">
        <v>792</v>
      </c>
      <c r="U34" s="18">
        <v>46661</v>
      </c>
      <c r="V34" s="18">
        <v>46099</v>
      </c>
      <c r="W34" s="18">
        <v>46231</v>
      </c>
      <c r="X34" s="18">
        <v>46260</v>
      </c>
      <c r="Y34" s="6" t="s">
        <v>464</v>
      </c>
      <c r="Z34" s="6" t="s">
        <v>144</v>
      </c>
      <c r="AA34" s="6" t="s">
        <v>465</v>
      </c>
      <c r="AB34" s="6" t="s">
        <v>460</v>
      </c>
      <c r="AC34" s="6" t="s">
        <v>466</v>
      </c>
      <c r="AD34" s="6"/>
    </row>
    <row r="35" spans="1:30" ht="409.6">
      <c r="A35" s="6" t="s">
        <v>115</v>
      </c>
      <c r="B35" s="6" t="s">
        <v>334</v>
      </c>
      <c r="C35" s="6"/>
      <c r="D35" s="7">
        <v>34</v>
      </c>
      <c r="E35" s="8" t="s">
        <v>89</v>
      </c>
      <c r="F35" s="6" t="s">
        <v>116</v>
      </c>
      <c r="G35" s="6"/>
      <c r="H35" s="8" t="s">
        <v>18</v>
      </c>
      <c r="I35" s="6" t="s">
        <v>50</v>
      </c>
      <c r="J35" s="6"/>
      <c r="K35" s="6" t="s">
        <v>56</v>
      </c>
      <c r="L35" s="6" t="s">
        <v>20</v>
      </c>
      <c r="M35" s="8">
        <v>4000</v>
      </c>
      <c r="N35" s="8">
        <v>4000</v>
      </c>
      <c r="O35" s="8"/>
      <c r="P35" s="10"/>
      <c r="Q35" s="10"/>
      <c r="R35" s="10">
        <f>SUM(Tabla22[[#This Row],[inversion_activos_computables_comprometida_anio_1_mill_usd]:[inversion_activos_computables_comprometida_anio_2_mill_usd]])</f>
        <v>0</v>
      </c>
      <c r="S35" s="6" t="s">
        <v>121</v>
      </c>
      <c r="T35" s="6"/>
      <c r="U35" s="18"/>
      <c r="V35" s="18">
        <v>45887</v>
      </c>
      <c r="W35" s="18"/>
      <c r="X35" s="18"/>
      <c r="Y35" s="6"/>
      <c r="Z35" s="6"/>
      <c r="AA35" s="6"/>
      <c r="AB35" s="6"/>
      <c r="AC35" s="6" t="s">
        <v>307</v>
      </c>
      <c r="AD35" s="6" t="s">
        <v>308</v>
      </c>
    </row>
    <row r="36" spans="1:30" ht="102">
      <c r="A36" s="14" t="s">
        <v>469</v>
      </c>
      <c r="B36" s="30" t="s">
        <v>473</v>
      </c>
      <c r="C36" s="14" t="s">
        <v>144</v>
      </c>
      <c r="D36" s="15">
        <v>35</v>
      </c>
      <c r="E36" s="16" t="s">
        <v>101</v>
      </c>
      <c r="F36" s="14" t="s">
        <v>117</v>
      </c>
      <c r="G36" s="30" t="s">
        <v>468</v>
      </c>
      <c r="H36" s="16" t="s">
        <v>140</v>
      </c>
      <c r="I36" s="30" t="s">
        <v>470</v>
      </c>
      <c r="J36" s="30" t="s">
        <v>470</v>
      </c>
      <c r="K36" s="14" t="s">
        <v>31</v>
      </c>
      <c r="L36" s="30" t="s">
        <v>472</v>
      </c>
      <c r="M36" s="16">
        <v>2693</v>
      </c>
      <c r="N36" s="16">
        <v>2693</v>
      </c>
      <c r="O36" s="16">
        <v>2693</v>
      </c>
      <c r="P36" s="10">
        <v>785</v>
      </c>
      <c r="Q36" s="10">
        <v>881</v>
      </c>
      <c r="R36" s="17">
        <f>SUM(Tabla22[[#This Row],[inversion_activos_computables_comprometida_anio_1_mill_usd]:[inversion_activos_computables_comprometida_anio_2_mill_usd]])</f>
        <v>1666</v>
      </c>
      <c r="S36" s="14" t="s">
        <v>14</v>
      </c>
      <c r="T36" s="14">
        <v>12500</v>
      </c>
      <c r="U36" s="18">
        <v>47453</v>
      </c>
      <c r="V36" s="40">
        <v>46133</v>
      </c>
      <c r="W36" s="40">
        <v>46237</v>
      </c>
      <c r="X36" s="40">
        <v>46272</v>
      </c>
      <c r="Y36" s="14" t="s">
        <v>471</v>
      </c>
      <c r="Z36" s="14" t="s">
        <v>144</v>
      </c>
      <c r="AA36" s="30" t="s">
        <v>476</v>
      </c>
      <c r="AB36" s="19" t="s">
        <v>474</v>
      </c>
      <c r="AC36" s="14" t="s">
        <v>475</v>
      </c>
      <c r="AD36" s="6"/>
    </row>
    <row r="37" spans="1:30" ht="204">
      <c r="A37" s="6" t="s">
        <v>236</v>
      </c>
      <c r="B37" s="6" t="s">
        <v>270</v>
      </c>
      <c r="C37" s="6" t="s">
        <v>156</v>
      </c>
      <c r="D37" s="7">
        <v>36</v>
      </c>
      <c r="E37" s="8" t="s">
        <v>118</v>
      </c>
      <c r="F37" s="6" t="s">
        <v>467</v>
      </c>
      <c r="G37" s="6" t="s">
        <v>237</v>
      </c>
      <c r="H37" s="8" t="s">
        <v>140</v>
      </c>
      <c r="I37" s="6" t="s">
        <v>149</v>
      </c>
      <c r="J37" s="6" t="s">
        <v>167</v>
      </c>
      <c r="K37" s="6" t="s">
        <v>238</v>
      </c>
      <c r="L37" s="6" t="s">
        <v>11</v>
      </c>
      <c r="M37" s="8">
        <v>1300</v>
      </c>
      <c r="N37" s="8">
        <v>1300</v>
      </c>
      <c r="O37" s="8">
        <v>955</v>
      </c>
      <c r="P37" s="10">
        <v>454</v>
      </c>
      <c r="Q37" s="10">
        <v>501</v>
      </c>
      <c r="R37" s="10">
        <f>SUM(Tabla22[[#This Row],[inversion_activos_computables_comprometida_anio_1_mill_usd]:[inversion_activos_computables_comprometida_anio_2_mill_usd]])</f>
        <v>955</v>
      </c>
      <c r="S37" s="6" t="s">
        <v>14</v>
      </c>
      <c r="T37" s="6">
        <v>2489</v>
      </c>
      <c r="U37" s="18">
        <v>46538</v>
      </c>
      <c r="V37" s="18">
        <v>45950</v>
      </c>
      <c r="W37" s="18">
        <v>46174</v>
      </c>
      <c r="X37" s="18">
        <v>46198</v>
      </c>
      <c r="Y37" s="6" t="s">
        <v>239</v>
      </c>
      <c r="Z37" s="6" t="s">
        <v>144</v>
      </c>
      <c r="AA37" s="6" t="s">
        <v>518</v>
      </c>
      <c r="AB37" s="37" t="s">
        <v>240</v>
      </c>
      <c r="AC37" s="6" t="s">
        <v>241</v>
      </c>
      <c r="AD37" s="6"/>
    </row>
    <row r="38" spans="1:30" ht="102">
      <c r="A38" s="6" t="s">
        <v>69</v>
      </c>
      <c r="B38" s="6" t="s">
        <v>268</v>
      </c>
      <c r="C38" s="6" t="s">
        <v>156</v>
      </c>
      <c r="D38" s="15">
        <v>37</v>
      </c>
      <c r="E38" s="8" t="s">
        <v>70</v>
      </c>
      <c r="F38" s="6" t="s">
        <v>71</v>
      </c>
      <c r="G38" s="6" t="s">
        <v>190</v>
      </c>
      <c r="H38" s="8" t="s">
        <v>18</v>
      </c>
      <c r="I38" s="6" t="s">
        <v>54</v>
      </c>
      <c r="J38" s="6" t="s">
        <v>160</v>
      </c>
      <c r="K38" s="6" t="s">
        <v>56</v>
      </c>
      <c r="L38" s="6" t="s">
        <v>20</v>
      </c>
      <c r="M38" s="8">
        <v>292</v>
      </c>
      <c r="N38" s="8">
        <v>217</v>
      </c>
      <c r="O38" s="8">
        <v>217</v>
      </c>
      <c r="P38" s="10">
        <v>31.112863000000001</v>
      </c>
      <c r="Q38" s="10">
        <v>51.531371</v>
      </c>
      <c r="R38" s="10">
        <f>SUM(Tabla22[[#This Row],[inversion_activos_computables_comprometida_anio_1_mill_usd]:[inversion_activos_computables_comprometida_anio_2_mill_usd]])</f>
        <v>82.644233999999997</v>
      </c>
      <c r="S38" s="6" t="s">
        <v>14</v>
      </c>
      <c r="T38" s="6">
        <v>670</v>
      </c>
      <c r="U38" s="18">
        <v>47483</v>
      </c>
      <c r="V38" s="18">
        <v>45594</v>
      </c>
      <c r="W38" s="18">
        <v>45855</v>
      </c>
      <c r="X38" s="18">
        <v>45896</v>
      </c>
      <c r="Y38" s="6" t="s">
        <v>72</v>
      </c>
      <c r="Z38" s="6" t="s">
        <v>156</v>
      </c>
      <c r="AA38" s="6" t="s">
        <v>214</v>
      </c>
      <c r="AB38" s="37" t="s">
        <v>135</v>
      </c>
      <c r="AC38" s="6" t="s">
        <v>233</v>
      </c>
      <c r="AD38" s="6"/>
    </row>
    <row r="39" spans="1:30" ht="409.6">
      <c r="A39" s="14" t="s">
        <v>119</v>
      </c>
      <c r="B39" s="14" t="s">
        <v>335</v>
      </c>
      <c r="C39" s="14"/>
      <c r="D39" s="7">
        <v>38</v>
      </c>
      <c r="E39" s="16" t="s">
        <v>336</v>
      </c>
      <c r="F39" s="14" t="s">
        <v>337</v>
      </c>
      <c r="G39" s="14"/>
      <c r="H39" s="16" t="s">
        <v>18</v>
      </c>
      <c r="I39" s="14" t="s">
        <v>54</v>
      </c>
      <c r="J39" s="14"/>
      <c r="K39" s="14" t="s">
        <v>84</v>
      </c>
      <c r="L39" s="14" t="s">
        <v>20</v>
      </c>
      <c r="M39" s="16">
        <v>1151</v>
      </c>
      <c r="N39" s="16">
        <v>1151</v>
      </c>
      <c r="O39" s="16"/>
      <c r="P39" s="10"/>
      <c r="Q39" s="10"/>
      <c r="R39" s="17">
        <f>SUM(Tabla22[[#This Row],[inversion_activos_computables_comprometida_anio_1_mill_usd]:[inversion_activos_computables_comprometida_anio_2_mill_usd]])</f>
        <v>0</v>
      </c>
      <c r="S39" s="14" t="s">
        <v>121</v>
      </c>
      <c r="T39" s="14"/>
      <c r="U39" s="18"/>
      <c r="V39" s="40">
        <v>46111</v>
      </c>
      <c r="W39" s="40"/>
      <c r="X39" s="40"/>
      <c r="Y39" s="14"/>
      <c r="Z39" s="14"/>
      <c r="AA39" s="14"/>
      <c r="AB39" s="14"/>
      <c r="AC39" s="14" t="s">
        <v>338</v>
      </c>
      <c r="AD39" s="6" t="s">
        <v>339</v>
      </c>
    </row>
    <row r="40" spans="1:30" ht="409.6">
      <c r="A40" s="6" t="s">
        <v>289</v>
      </c>
      <c r="B40" s="6" t="s">
        <v>340</v>
      </c>
      <c r="C40" s="6"/>
      <c r="D40" s="15">
        <v>39</v>
      </c>
      <c r="E40" s="8" t="s">
        <v>120</v>
      </c>
      <c r="F40" s="6" t="s">
        <v>349</v>
      </c>
      <c r="G40" s="6"/>
      <c r="H40" s="8" t="s">
        <v>140</v>
      </c>
      <c r="I40" s="6" t="s">
        <v>301</v>
      </c>
      <c r="J40" s="6"/>
      <c r="K40" s="6" t="s">
        <v>82</v>
      </c>
      <c r="L40" s="6" t="s">
        <v>11</v>
      </c>
      <c r="M40" s="8">
        <v>25000</v>
      </c>
      <c r="N40" s="8">
        <v>25000</v>
      </c>
      <c r="O40" s="8"/>
      <c r="P40" s="10"/>
      <c r="Q40" s="10"/>
      <c r="R40" s="10">
        <f>SUM(Tabla22[[#This Row],[inversion_activos_computables_comprometida_anio_1_mill_usd]:[inversion_activos_computables_comprometida_anio_2_mill_usd]])</f>
        <v>0</v>
      </c>
      <c r="S40" s="6" t="s">
        <v>121</v>
      </c>
      <c r="T40" s="6"/>
      <c r="U40" s="18"/>
      <c r="V40" s="18">
        <v>46157</v>
      </c>
      <c r="W40" s="18"/>
      <c r="X40" s="18"/>
      <c r="Y40" s="6"/>
      <c r="Z40" s="6"/>
      <c r="AA40" s="6"/>
      <c r="AB40" s="6"/>
      <c r="AC40" s="6" t="s">
        <v>341</v>
      </c>
      <c r="AD40" s="6" t="s">
        <v>342</v>
      </c>
    </row>
    <row r="41" spans="1:30" ht="409.6">
      <c r="A41" s="6" t="s">
        <v>290</v>
      </c>
      <c r="B41" s="6" t="s">
        <v>343</v>
      </c>
      <c r="C41" s="6"/>
      <c r="D41" s="7">
        <v>40</v>
      </c>
      <c r="E41" s="8" t="s">
        <v>291</v>
      </c>
      <c r="F41" s="6" t="s">
        <v>350</v>
      </c>
      <c r="G41" s="6"/>
      <c r="H41" s="8" t="s">
        <v>140</v>
      </c>
      <c r="I41" s="6" t="s">
        <v>301</v>
      </c>
      <c r="J41" s="6"/>
      <c r="K41" s="6" t="s">
        <v>82</v>
      </c>
      <c r="L41" s="6" t="s">
        <v>11</v>
      </c>
      <c r="M41" s="8">
        <v>5800</v>
      </c>
      <c r="N41" s="8">
        <v>5800</v>
      </c>
      <c r="O41" s="8"/>
      <c r="P41" s="10"/>
      <c r="Q41" s="10"/>
      <c r="R41" s="10">
        <f>SUM(Tabla22[[#This Row],[inversion_activos_computables_comprometida_anio_1_mill_usd]:[inversion_activos_computables_comprometida_anio_2_mill_usd]])</f>
        <v>0</v>
      </c>
      <c r="S41" s="6" t="s">
        <v>121</v>
      </c>
      <c r="T41" s="12"/>
      <c r="U41" s="18"/>
      <c r="V41" s="18">
        <v>46224</v>
      </c>
      <c r="W41" s="18"/>
      <c r="X41" s="18"/>
      <c r="Y41" s="6"/>
      <c r="Z41" s="6"/>
      <c r="AA41" s="6"/>
      <c r="AB41" s="6"/>
      <c r="AC41" s="6" t="s">
        <v>344</v>
      </c>
      <c r="AD41" s="32" t="s">
        <v>345</v>
      </c>
    </row>
    <row r="42" spans="1:30" ht="409.6">
      <c r="A42" s="6" t="s">
        <v>352</v>
      </c>
      <c r="B42" s="6" t="s">
        <v>353</v>
      </c>
      <c r="C42" s="6"/>
      <c r="D42" s="7">
        <v>41</v>
      </c>
      <c r="E42" s="8" t="s">
        <v>354</v>
      </c>
      <c r="F42" s="6" t="s">
        <v>349</v>
      </c>
      <c r="G42" s="6"/>
      <c r="H42" s="8" t="s">
        <v>140</v>
      </c>
      <c r="I42" s="6" t="s">
        <v>149</v>
      </c>
      <c r="J42" s="6"/>
      <c r="K42" s="6" t="s">
        <v>303</v>
      </c>
      <c r="L42" s="6" t="s">
        <v>11</v>
      </c>
      <c r="M42" s="8">
        <v>51000</v>
      </c>
      <c r="N42" s="8"/>
      <c r="O42" s="8"/>
      <c r="P42" s="10"/>
      <c r="Q42" s="10"/>
      <c r="R42" s="10">
        <f>SUM(Tabla22[[#This Row],[inversion_activos_computables_comprometida_anio_1_mill_usd]:[inversion_activos_computables_comprometida_anio_2_mill_usd]])</f>
        <v>0</v>
      </c>
      <c r="S42" s="6" t="s">
        <v>121</v>
      </c>
      <c r="T42" s="8"/>
      <c r="U42" s="18"/>
      <c r="V42" s="18">
        <v>46247</v>
      </c>
      <c r="W42" s="18"/>
      <c r="X42" s="18"/>
      <c r="Y42" s="6"/>
      <c r="Z42" s="6"/>
      <c r="AA42" s="6"/>
      <c r="AB42" s="6"/>
      <c r="AC42" s="6" t="s">
        <v>355</v>
      </c>
      <c r="AD42" s="6" t="s">
        <v>356</v>
      </c>
    </row>
    <row r="43" spans="1:30" ht="409.6">
      <c r="A43" s="20" t="s">
        <v>488</v>
      </c>
      <c r="B43" s="20" t="s">
        <v>477</v>
      </c>
      <c r="C43" s="20"/>
      <c r="D43" s="21">
        <v>42</v>
      </c>
      <c r="E43" s="22" t="s">
        <v>478</v>
      </c>
      <c r="F43" s="20"/>
      <c r="G43" s="20"/>
      <c r="H43" s="22" t="s">
        <v>479</v>
      </c>
      <c r="I43" s="20" t="s">
        <v>490</v>
      </c>
      <c r="J43" s="20"/>
      <c r="K43" s="20" t="s">
        <v>31</v>
      </c>
      <c r="L43" s="20" t="s">
        <v>480</v>
      </c>
      <c r="M43" s="22">
        <v>1341</v>
      </c>
      <c r="N43" s="22"/>
      <c r="O43" s="22"/>
      <c r="P43" s="23"/>
      <c r="Q43" s="23"/>
      <c r="R43" s="23"/>
      <c r="S43" s="20" t="s">
        <v>121</v>
      </c>
      <c r="T43" s="22">
        <v>6200</v>
      </c>
      <c r="U43" s="42"/>
      <c r="V43" s="42">
        <v>46295</v>
      </c>
      <c r="W43" s="42"/>
      <c r="X43" s="42"/>
      <c r="Y43" s="20"/>
      <c r="Z43" s="20"/>
      <c r="AA43" s="20"/>
      <c r="AB43" s="20"/>
      <c r="AC43" s="20" t="s">
        <v>481</v>
      </c>
      <c r="AD43" s="20" t="s">
        <v>482</v>
      </c>
    </row>
    <row r="44" spans="1:30" ht="409.6">
      <c r="A44" s="24" t="s">
        <v>489</v>
      </c>
      <c r="B44" s="24" t="s">
        <v>483</v>
      </c>
      <c r="C44" s="24"/>
      <c r="D44" s="24">
        <v>43</v>
      </c>
      <c r="E44" s="24" t="s">
        <v>118</v>
      </c>
      <c r="F44" s="24"/>
      <c r="G44" s="24"/>
      <c r="H44" s="24" t="s">
        <v>140</v>
      </c>
      <c r="I44" s="24" t="s">
        <v>301</v>
      </c>
      <c r="J44" s="24"/>
      <c r="K44" s="24" t="s">
        <v>484</v>
      </c>
      <c r="L44" s="24" t="s">
        <v>485</v>
      </c>
      <c r="M44" s="24">
        <v>1200</v>
      </c>
      <c r="N44" s="24"/>
      <c r="O44" s="24"/>
      <c r="P44" s="24"/>
      <c r="Q44" s="24"/>
      <c r="R44" s="24"/>
      <c r="S44" s="24" t="s">
        <v>121</v>
      </c>
      <c r="T44" s="24"/>
      <c r="U44" s="43"/>
      <c r="V44" s="42">
        <v>46296</v>
      </c>
      <c r="W44" s="43"/>
      <c r="X44" s="43"/>
      <c r="Y44" s="24"/>
      <c r="Z44" s="24"/>
      <c r="AA44" s="24"/>
      <c r="AB44" s="24"/>
      <c r="AC44" s="24" t="s">
        <v>486</v>
      </c>
      <c r="AD44" s="24" t="s">
        <v>487</v>
      </c>
    </row>
    <row r="45" spans="1:30" ht="340">
      <c r="A45" s="25" t="s">
        <v>491</v>
      </c>
      <c r="B45" s="25" t="s">
        <v>492</v>
      </c>
      <c r="C45" s="25"/>
      <c r="D45" s="26">
        <v>44</v>
      </c>
      <c r="E45" s="27" t="s">
        <v>493</v>
      </c>
      <c r="F45" s="25" t="s">
        <v>491</v>
      </c>
      <c r="G45" s="25"/>
      <c r="H45" s="27" t="s">
        <v>18</v>
      </c>
      <c r="I45" s="25" t="s">
        <v>50</v>
      </c>
      <c r="J45" s="25"/>
      <c r="K45" s="25" t="s">
        <v>24</v>
      </c>
      <c r="L45" s="25" t="s">
        <v>494</v>
      </c>
      <c r="M45" s="27">
        <v>2437</v>
      </c>
      <c r="N45" s="27"/>
      <c r="O45" s="27"/>
      <c r="P45" s="28"/>
      <c r="Q45" s="28"/>
      <c r="R45" s="28">
        <f>SUM(Tabla22[[#This Row],[inversion_activos_computables_comprometida_anio_1_mill_usd]:[inversion_activos_computables_comprometida_anio_2_mill_usd]])</f>
        <v>0</v>
      </c>
      <c r="S45" s="25" t="s">
        <v>121</v>
      </c>
      <c r="T45" s="25"/>
      <c r="U45" s="29"/>
      <c r="V45" s="44"/>
      <c r="W45" s="44"/>
      <c r="X45" s="44"/>
      <c r="Y45" s="25"/>
      <c r="Z45" s="25"/>
      <c r="AA45" s="25"/>
      <c r="AB45" s="25"/>
      <c r="AC45" s="25" t="s">
        <v>496</v>
      </c>
      <c r="AD45" s="25" t="s">
        <v>495</v>
      </c>
    </row>
  </sheetData>
  <phoneticPr fontId="3" type="noConversion"/>
  <hyperlinks>
    <hyperlink ref="AB2" r:id="rId1" xr:uid="{E7946696-3FA0-2340-9F0D-F82232A2D521}"/>
    <hyperlink ref="AB3" r:id="rId2" xr:uid="{864830E5-443A-F949-B08D-A9A2D962FC53}"/>
    <hyperlink ref="AB4" r:id="rId3" xr:uid="{F30110FA-50BB-D54F-AA6F-20C3580BA813}"/>
    <hyperlink ref="AB5" r:id="rId4" xr:uid="{E560862B-19C8-B045-8DF1-A2CAB50819CE}"/>
    <hyperlink ref="AB6" r:id="rId5" xr:uid="{5DD375D5-F227-5F45-BFBD-E26C3495CA7E}"/>
    <hyperlink ref="AB7" r:id="rId6" xr:uid="{4CFBBA0C-ED10-D64E-9941-11F327F36C19}"/>
    <hyperlink ref="AB8" r:id="rId7" xr:uid="{B8D2E0C7-9EE8-7140-BEEB-F9303EB95148}"/>
    <hyperlink ref="AB9" r:id="rId8" xr:uid="{BD518929-55B2-C548-A717-25C8AB735C10}"/>
    <hyperlink ref="AB10" r:id="rId9" xr:uid="{1CF8C7E3-3D6B-1846-9409-F8607750B099}"/>
    <hyperlink ref="AB11" r:id="rId10" xr:uid="{E15A8A3A-6874-8341-9A82-8D0EC291AE8B}"/>
    <hyperlink ref="AB12" r:id="rId11" xr:uid="{EE885CE2-292A-7144-AB22-6555EF6B63F0}"/>
    <hyperlink ref="AB13" r:id="rId12" xr:uid="{41379B0B-50EC-224A-8D84-883ACF204D39}"/>
    <hyperlink ref="AB14" r:id="rId13" xr:uid="{4A8DE535-05F9-6541-808B-69EEA179E929}"/>
    <hyperlink ref="AB18" r:id="rId14" xr:uid="{0A4022F6-235E-7A47-86DA-76E77D617BDC}"/>
    <hyperlink ref="AB26" r:id="rId15" xr:uid="{BB5C2C8B-F255-7D4F-A6F5-B6333F9F5C63}"/>
    <hyperlink ref="AB29" r:id="rId16" xr:uid="{B3C7534A-FD7C-674A-BBE8-8CAF3CDA98B8}"/>
    <hyperlink ref="AB30" r:id="rId17" xr:uid="{F8DEF1A1-B40E-2A4C-99D1-6DF3F0563A8F}"/>
    <hyperlink ref="AB32" r:id="rId18" xr:uid="{6BC0AEE3-8A86-534C-91E7-71452A228820}"/>
    <hyperlink ref="AB38" r:id="rId19" xr:uid="{63C62B8C-EB06-1548-85E9-BA577BD550AC}"/>
    <hyperlink ref="AD41" r:id="rId20" xr:uid="{8B349C04-C00D-AF45-A235-16E6BEF78B40}"/>
    <hyperlink ref="AB27" r:id="rId21" xr:uid="{C5A97FE8-FC03-4B41-86D8-2D3DFD0E915C}"/>
    <hyperlink ref="AB37" r:id="rId22" xr:uid="{95B4063F-E390-2F4C-97F4-22710E08828D}"/>
    <hyperlink ref="AB36" r:id="rId23" xr:uid="{58EFA9E3-F5DD-7244-B47A-5A35FCC395E1}"/>
    <hyperlink ref="AB24" r:id="rId24" xr:uid="{8FAD3DFA-392A-1846-AD7B-B2015845524B}"/>
  </hyperlinks>
  <pageMargins left="0.7" right="0.7" top="0.75" bottom="0.75" header="0.3" footer="0.3"/>
  <drawing r:id="rId25"/>
  <legacyDrawing r:id="rId26"/>
  <tableParts count="1">
    <tablePart r:id="rId2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1"/>
  <sheetViews>
    <sheetView zoomScale="140" zoomScaleNormal="140" workbookViewId="0">
      <selection activeCell="B19" sqref="B19"/>
    </sheetView>
  </sheetViews>
  <sheetFormatPr baseColWidth="10" defaultRowHeight="15"/>
  <cols>
    <col min="1" max="1" width="6.33203125" bestFit="1" customWidth="1"/>
    <col min="2" max="2" width="52.5" bestFit="1" customWidth="1"/>
    <col min="3" max="3" width="53.33203125" bestFit="1" customWidth="1"/>
    <col min="4" max="4" width="14.6640625" bestFit="1" customWidth="1"/>
    <col min="5" max="5" width="15" bestFit="1" customWidth="1"/>
    <col min="6" max="6" width="84" bestFit="1" customWidth="1"/>
  </cols>
  <sheetData>
    <row r="1" spans="1:6" ht="32">
      <c r="A1" s="2" t="s">
        <v>378</v>
      </c>
      <c r="B1" s="2" t="s">
        <v>452</v>
      </c>
      <c r="C1" s="2" t="s">
        <v>453</v>
      </c>
      <c r="D1" s="2" t="s">
        <v>381</v>
      </c>
      <c r="E1" s="2" t="s">
        <v>382</v>
      </c>
      <c r="F1" s="2" t="s">
        <v>383</v>
      </c>
    </row>
    <row r="2" spans="1:6" ht="16">
      <c r="A2" s="1">
        <v>1</v>
      </c>
      <c r="B2" s="1" t="s">
        <v>361</v>
      </c>
      <c r="C2" s="1" t="s">
        <v>170</v>
      </c>
      <c r="D2" s="1" t="s">
        <v>384</v>
      </c>
      <c r="E2" s="1" t="s">
        <v>385</v>
      </c>
      <c r="F2" s="1" t="s">
        <v>386</v>
      </c>
    </row>
    <row r="3" spans="1:6" ht="16">
      <c r="A3" s="1">
        <v>2</v>
      </c>
      <c r="B3" s="1" t="s">
        <v>362</v>
      </c>
      <c r="C3" s="1" t="s">
        <v>387</v>
      </c>
      <c r="D3" s="1" t="s">
        <v>384</v>
      </c>
      <c r="E3" s="1" t="s">
        <v>385</v>
      </c>
      <c r="F3" s="1" t="s">
        <v>388</v>
      </c>
    </row>
    <row r="4" spans="1:6" ht="16">
      <c r="A4" s="1">
        <v>3</v>
      </c>
      <c r="B4" s="1" t="s">
        <v>363</v>
      </c>
      <c r="C4" s="1" t="s">
        <v>389</v>
      </c>
      <c r="D4" s="1" t="s">
        <v>390</v>
      </c>
      <c r="E4" s="1" t="s">
        <v>391</v>
      </c>
      <c r="F4" s="1" t="s">
        <v>392</v>
      </c>
    </row>
    <row r="5" spans="1:6" ht="16">
      <c r="A5" s="1">
        <v>4</v>
      </c>
      <c r="B5" s="1" t="s">
        <v>0</v>
      </c>
      <c r="C5" s="1" t="s">
        <v>393</v>
      </c>
      <c r="D5" s="1" t="s">
        <v>394</v>
      </c>
      <c r="E5" s="1" t="s">
        <v>385</v>
      </c>
      <c r="F5" s="1" t="s">
        <v>395</v>
      </c>
    </row>
    <row r="6" spans="1:6" ht="16">
      <c r="A6" s="1">
        <v>5</v>
      </c>
      <c r="B6" s="1" t="s">
        <v>1</v>
      </c>
      <c r="C6" s="1" t="s">
        <v>396</v>
      </c>
      <c r="D6" s="1" t="s">
        <v>384</v>
      </c>
      <c r="E6" s="1" t="s">
        <v>385</v>
      </c>
      <c r="F6" s="1" t="s">
        <v>397</v>
      </c>
    </row>
    <row r="7" spans="1:6" ht="16">
      <c r="A7" s="1">
        <v>6</v>
      </c>
      <c r="B7" s="1" t="s">
        <v>169</v>
      </c>
      <c r="C7" s="1" t="s">
        <v>398</v>
      </c>
      <c r="D7" s="1" t="s">
        <v>384</v>
      </c>
      <c r="E7" s="1" t="s">
        <v>385</v>
      </c>
      <c r="F7" s="1" t="s">
        <v>399</v>
      </c>
    </row>
    <row r="8" spans="1:6" ht="16">
      <c r="A8" s="1">
        <v>7</v>
      </c>
      <c r="B8" s="1" t="s">
        <v>364</v>
      </c>
      <c r="C8" s="1" t="s">
        <v>141</v>
      </c>
      <c r="D8" s="1" t="s">
        <v>384</v>
      </c>
      <c r="E8" s="1" t="s">
        <v>385</v>
      </c>
      <c r="F8" s="1" t="s">
        <v>400</v>
      </c>
    </row>
    <row r="9" spans="1:6" ht="16">
      <c r="A9" s="1">
        <v>8</v>
      </c>
      <c r="B9" s="1" t="s">
        <v>2</v>
      </c>
      <c r="C9" s="1" t="s">
        <v>401</v>
      </c>
      <c r="D9" s="1" t="s">
        <v>390</v>
      </c>
      <c r="E9" s="1" t="s">
        <v>385</v>
      </c>
      <c r="F9" s="1" t="s">
        <v>402</v>
      </c>
    </row>
    <row r="10" spans="1:6" ht="16">
      <c r="A10" s="1">
        <v>9</v>
      </c>
      <c r="B10" s="1" t="s">
        <v>3</v>
      </c>
      <c r="C10" s="1" t="s">
        <v>403</v>
      </c>
      <c r="D10" s="1" t="s">
        <v>390</v>
      </c>
      <c r="E10" s="1" t="s">
        <v>385</v>
      </c>
      <c r="F10" s="1" t="s">
        <v>404</v>
      </c>
    </row>
    <row r="11" spans="1:6" ht="16">
      <c r="A11" s="1">
        <v>10</v>
      </c>
      <c r="B11" s="1" t="s">
        <v>365</v>
      </c>
      <c r="C11" s="1" t="s">
        <v>405</v>
      </c>
      <c r="D11" s="1" t="s">
        <v>384</v>
      </c>
      <c r="E11" s="1" t="s">
        <v>385</v>
      </c>
      <c r="F11" s="1" t="s">
        <v>406</v>
      </c>
    </row>
    <row r="12" spans="1:6" ht="16">
      <c r="A12" s="1">
        <v>11</v>
      </c>
      <c r="B12" s="1" t="s">
        <v>4</v>
      </c>
      <c r="C12" s="1" t="s">
        <v>407</v>
      </c>
      <c r="D12" s="1" t="s">
        <v>408</v>
      </c>
      <c r="E12" s="1" t="s">
        <v>385</v>
      </c>
      <c r="F12" s="1" t="s">
        <v>409</v>
      </c>
    </row>
    <row r="13" spans="1:6" ht="16">
      <c r="A13" s="1">
        <v>12</v>
      </c>
      <c r="B13" s="1" t="s">
        <v>5</v>
      </c>
      <c r="C13" s="1" t="s">
        <v>410</v>
      </c>
      <c r="D13" s="1" t="s">
        <v>384</v>
      </c>
      <c r="E13" s="1" t="s">
        <v>385</v>
      </c>
      <c r="F13" s="1" t="s">
        <v>411</v>
      </c>
    </row>
    <row r="14" spans="1:6" ht="16">
      <c r="A14" s="1">
        <v>13</v>
      </c>
      <c r="B14" s="1" t="s">
        <v>366</v>
      </c>
      <c r="C14" s="1" t="s">
        <v>412</v>
      </c>
      <c r="D14" s="1" t="s">
        <v>413</v>
      </c>
      <c r="E14" s="1" t="s">
        <v>414</v>
      </c>
      <c r="F14" s="1" t="s">
        <v>415</v>
      </c>
    </row>
    <row r="15" spans="1:6" ht="16">
      <c r="A15" s="1">
        <v>14</v>
      </c>
      <c r="B15" s="1" t="s">
        <v>367</v>
      </c>
      <c r="C15" s="1" t="s">
        <v>416</v>
      </c>
      <c r="D15" s="1" t="s">
        <v>413</v>
      </c>
      <c r="E15" s="1" t="s">
        <v>414</v>
      </c>
      <c r="F15" s="1" t="s">
        <v>417</v>
      </c>
    </row>
    <row r="16" spans="1:6" ht="16">
      <c r="A16" s="1">
        <v>15</v>
      </c>
      <c r="B16" s="3" t="s">
        <v>368</v>
      </c>
      <c r="C16" s="1" t="s">
        <v>418</v>
      </c>
      <c r="D16" s="1" t="s">
        <v>413</v>
      </c>
      <c r="E16" s="1" t="s">
        <v>414</v>
      </c>
      <c r="F16" s="1" t="s">
        <v>419</v>
      </c>
    </row>
    <row r="17" spans="1:6" ht="16">
      <c r="A17" s="1">
        <v>16</v>
      </c>
      <c r="B17" s="3" t="s">
        <v>369</v>
      </c>
      <c r="C17" s="1" t="s">
        <v>420</v>
      </c>
      <c r="D17" s="1" t="s">
        <v>413</v>
      </c>
      <c r="E17" s="1" t="s">
        <v>414</v>
      </c>
      <c r="F17" s="1" t="s">
        <v>421</v>
      </c>
    </row>
    <row r="18" spans="1:6" ht="16">
      <c r="A18" s="1">
        <v>17</v>
      </c>
      <c r="B18" s="1" t="s">
        <v>370</v>
      </c>
      <c r="C18" s="1" t="s">
        <v>422</v>
      </c>
      <c r="D18" s="1" t="s">
        <v>413</v>
      </c>
      <c r="E18" s="1" t="s">
        <v>414</v>
      </c>
      <c r="F18" s="1" t="s">
        <v>423</v>
      </c>
    </row>
    <row r="19" spans="1:6" ht="32">
      <c r="A19" s="1">
        <v>18</v>
      </c>
      <c r="B19" s="3" t="s">
        <v>371</v>
      </c>
      <c r="C19" s="1" t="s">
        <v>424</v>
      </c>
      <c r="D19" s="1" t="s">
        <v>413</v>
      </c>
      <c r="E19" s="1" t="s">
        <v>414</v>
      </c>
      <c r="F19" s="1" t="s">
        <v>425</v>
      </c>
    </row>
    <row r="20" spans="1:6" ht="16">
      <c r="A20" s="1">
        <v>19</v>
      </c>
      <c r="B20" s="1" t="s">
        <v>372</v>
      </c>
      <c r="C20" s="1" t="s">
        <v>124</v>
      </c>
      <c r="D20" s="1" t="s">
        <v>390</v>
      </c>
      <c r="E20" s="1" t="s">
        <v>385</v>
      </c>
      <c r="F20" s="1" t="s">
        <v>426</v>
      </c>
    </row>
    <row r="21" spans="1:6" ht="16">
      <c r="A21" s="1">
        <v>20</v>
      </c>
      <c r="B21" s="1" t="s">
        <v>373</v>
      </c>
      <c r="C21" s="1" t="s">
        <v>427</v>
      </c>
      <c r="D21" s="1" t="s">
        <v>413</v>
      </c>
      <c r="E21" s="1" t="s">
        <v>428</v>
      </c>
      <c r="F21" s="1" t="s">
        <v>429</v>
      </c>
    </row>
    <row r="22" spans="1:6" ht="16">
      <c r="A22" s="1">
        <v>21</v>
      </c>
      <c r="B22" s="3" t="s">
        <v>360</v>
      </c>
      <c r="C22" s="1" t="s">
        <v>430</v>
      </c>
      <c r="D22" s="1" t="s">
        <v>431</v>
      </c>
      <c r="E22" s="1" t="s">
        <v>431</v>
      </c>
      <c r="F22" s="1" t="s">
        <v>432</v>
      </c>
    </row>
    <row r="23" spans="1:6" ht="16">
      <c r="A23" s="1">
        <v>22</v>
      </c>
      <c r="B23" s="1" t="s">
        <v>6</v>
      </c>
      <c r="C23" s="1" t="s">
        <v>433</v>
      </c>
      <c r="D23" s="1" t="s">
        <v>431</v>
      </c>
      <c r="E23" s="1" t="s">
        <v>431</v>
      </c>
      <c r="F23" s="1" t="s">
        <v>434</v>
      </c>
    </row>
    <row r="24" spans="1:6" ht="16">
      <c r="A24" s="1">
        <v>23</v>
      </c>
      <c r="B24" s="3" t="s">
        <v>151</v>
      </c>
      <c r="C24" s="1" t="s">
        <v>435</v>
      </c>
      <c r="D24" s="1" t="s">
        <v>431</v>
      </c>
      <c r="E24" s="1" t="s">
        <v>431</v>
      </c>
      <c r="F24" s="1" t="s">
        <v>436</v>
      </c>
    </row>
    <row r="25" spans="1:6" ht="16">
      <c r="A25" s="1">
        <v>24</v>
      </c>
      <c r="B25" s="1" t="s">
        <v>152</v>
      </c>
      <c r="C25" s="1" t="s">
        <v>437</v>
      </c>
      <c r="D25" s="1" t="s">
        <v>431</v>
      </c>
      <c r="E25" s="1" t="s">
        <v>431</v>
      </c>
      <c r="F25" s="1" t="s">
        <v>438</v>
      </c>
    </row>
    <row r="26" spans="1:6" ht="16">
      <c r="A26" s="1">
        <v>25</v>
      </c>
      <c r="B26" s="1" t="s">
        <v>7</v>
      </c>
      <c r="C26" s="1" t="s">
        <v>439</v>
      </c>
      <c r="D26" s="1" t="s">
        <v>384</v>
      </c>
      <c r="E26" s="1" t="s">
        <v>385</v>
      </c>
      <c r="F26" s="1" t="s">
        <v>440</v>
      </c>
    </row>
    <row r="27" spans="1:6" ht="32">
      <c r="A27" s="1">
        <v>26</v>
      </c>
      <c r="B27" s="1" t="s">
        <v>374</v>
      </c>
      <c r="C27" s="1" t="s">
        <v>441</v>
      </c>
      <c r="D27" s="1" t="s">
        <v>390</v>
      </c>
      <c r="E27" s="1" t="s">
        <v>385</v>
      </c>
      <c r="F27" s="1" t="s">
        <v>442</v>
      </c>
    </row>
    <row r="28" spans="1:6" ht="16">
      <c r="A28" s="1">
        <v>27</v>
      </c>
      <c r="B28" s="1" t="s">
        <v>375</v>
      </c>
      <c r="C28" s="1" t="s">
        <v>443</v>
      </c>
      <c r="D28" s="1" t="s">
        <v>384</v>
      </c>
      <c r="E28" s="1" t="s">
        <v>385</v>
      </c>
      <c r="F28" s="1" t="s">
        <v>444</v>
      </c>
    </row>
    <row r="29" spans="1:6" ht="16">
      <c r="A29" s="1">
        <v>28</v>
      </c>
      <c r="B29" s="1" t="s">
        <v>126</v>
      </c>
      <c r="C29" s="3" t="s">
        <v>451</v>
      </c>
      <c r="D29" s="1" t="s">
        <v>445</v>
      </c>
      <c r="E29" s="1" t="s">
        <v>385</v>
      </c>
      <c r="F29" s="1" t="s">
        <v>446</v>
      </c>
    </row>
    <row r="30" spans="1:6" ht="16">
      <c r="A30" s="1">
        <v>29</v>
      </c>
      <c r="B30" s="1" t="s">
        <v>376</v>
      </c>
      <c r="C30" s="1" t="s">
        <v>145</v>
      </c>
      <c r="D30" s="1" t="s">
        <v>384</v>
      </c>
      <c r="E30" s="1" t="s">
        <v>385</v>
      </c>
      <c r="F30" s="1" t="s">
        <v>447</v>
      </c>
    </row>
    <row r="31" spans="1:6" ht="16">
      <c r="A31" s="1">
        <v>30</v>
      </c>
      <c r="B31" s="1" t="s">
        <v>377</v>
      </c>
      <c r="C31" s="1" t="s">
        <v>448</v>
      </c>
      <c r="D31" s="1" t="s">
        <v>449</v>
      </c>
      <c r="E31" s="1" t="s">
        <v>385</v>
      </c>
      <c r="F31" s="1" t="s">
        <v>450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14A0-3E24-1E4B-93C4-1D872C2CA18A}">
  <dimension ref="A1:C31"/>
  <sheetViews>
    <sheetView topLeftCell="A18" workbookViewId="0">
      <selection sqref="A1:C31"/>
    </sheetView>
  </sheetViews>
  <sheetFormatPr baseColWidth="10" defaultRowHeight="15"/>
  <sheetData>
    <row r="1" spans="1:3" ht="64">
      <c r="A1" s="4" t="s">
        <v>378</v>
      </c>
      <c r="B1" s="4" t="s">
        <v>379</v>
      </c>
      <c r="C1" s="4" t="s">
        <v>380</v>
      </c>
    </row>
    <row r="2" spans="1:3" ht="16">
      <c r="A2" s="5">
        <v>1</v>
      </c>
      <c r="B2" s="5" t="s">
        <v>170</v>
      </c>
      <c r="C2" s="5" t="s">
        <v>361</v>
      </c>
    </row>
    <row r="3" spans="1:3" ht="48">
      <c r="A3" s="5">
        <v>2</v>
      </c>
      <c r="B3" s="5" t="s">
        <v>157</v>
      </c>
      <c r="C3" s="5" t="s">
        <v>362</v>
      </c>
    </row>
    <row r="4" spans="1:3" ht="112">
      <c r="A4" s="5">
        <v>3</v>
      </c>
      <c r="B4" s="5" t="s">
        <v>249</v>
      </c>
      <c r="C4" s="5" t="s">
        <v>363</v>
      </c>
    </row>
    <row r="5" spans="1:3" ht="16">
      <c r="A5" s="5">
        <v>4</v>
      </c>
      <c r="B5" s="5" t="s">
        <v>0</v>
      </c>
      <c r="C5" s="5" t="s">
        <v>0</v>
      </c>
    </row>
    <row r="6" spans="1:3" ht="16">
      <c r="A6" s="5">
        <v>5</v>
      </c>
      <c r="B6" s="5" t="s">
        <v>1</v>
      </c>
      <c r="C6" s="5" t="s">
        <v>1</v>
      </c>
    </row>
    <row r="7" spans="1:3" ht="32">
      <c r="A7" s="5">
        <v>6</v>
      </c>
      <c r="B7" s="5" t="s">
        <v>169</v>
      </c>
      <c r="C7" s="5" t="s">
        <v>169</v>
      </c>
    </row>
    <row r="8" spans="1:3" ht="16">
      <c r="A8" s="5">
        <v>7</v>
      </c>
      <c r="B8" s="5" t="s">
        <v>141</v>
      </c>
      <c r="C8" s="5" t="s">
        <v>364</v>
      </c>
    </row>
    <row r="9" spans="1:3" ht="16">
      <c r="A9" s="5">
        <v>8</v>
      </c>
      <c r="B9" s="5" t="s">
        <v>2</v>
      </c>
      <c r="C9" s="5" t="s">
        <v>2</v>
      </c>
    </row>
    <row r="10" spans="1:3" ht="16">
      <c r="A10" s="5">
        <v>9</v>
      </c>
      <c r="B10" s="5" t="s">
        <v>3</v>
      </c>
      <c r="C10" s="5" t="s">
        <v>3</v>
      </c>
    </row>
    <row r="11" spans="1:3" ht="64">
      <c r="A11" s="5">
        <v>10</v>
      </c>
      <c r="B11" s="5" t="s">
        <v>186</v>
      </c>
      <c r="C11" s="5" t="s">
        <v>365</v>
      </c>
    </row>
    <row r="12" spans="1:3" ht="16">
      <c r="A12" s="5">
        <v>11</v>
      </c>
      <c r="B12" s="5" t="s">
        <v>4</v>
      </c>
      <c r="C12" s="5" t="s">
        <v>4</v>
      </c>
    </row>
    <row r="13" spans="1:3" ht="32">
      <c r="A13" s="5">
        <v>12</v>
      </c>
      <c r="B13" s="5" t="s">
        <v>5</v>
      </c>
      <c r="C13" s="5" t="s">
        <v>5</v>
      </c>
    </row>
    <row r="14" spans="1:3" ht="48">
      <c r="A14" s="5">
        <v>13</v>
      </c>
      <c r="B14" s="5" t="s">
        <v>122</v>
      </c>
      <c r="C14" s="5" t="s">
        <v>366</v>
      </c>
    </row>
    <row r="15" spans="1:3" ht="64">
      <c r="A15" s="5">
        <v>14</v>
      </c>
      <c r="B15" s="5" t="s">
        <v>277</v>
      </c>
      <c r="C15" s="5" t="s">
        <v>367</v>
      </c>
    </row>
    <row r="16" spans="1:3" ht="64">
      <c r="A16" s="5">
        <v>15</v>
      </c>
      <c r="B16" s="5" t="s">
        <v>123</v>
      </c>
      <c r="C16" s="5" t="s">
        <v>368</v>
      </c>
    </row>
    <row r="17" spans="1:3" ht="96">
      <c r="A17" s="5">
        <v>16</v>
      </c>
      <c r="B17" s="5" t="s">
        <v>357</v>
      </c>
      <c r="C17" s="5" t="s">
        <v>369</v>
      </c>
    </row>
    <row r="18" spans="1:3" ht="96">
      <c r="A18" s="5">
        <v>17</v>
      </c>
      <c r="B18" s="5" t="s">
        <v>358</v>
      </c>
      <c r="C18" s="5" t="s">
        <v>370</v>
      </c>
    </row>
    <row r="19" spans="1:3" ht="96">
      <c r="A19" s="5">
        <v>18</v>
      </c>
      <c r="B19" s="5" t="s">
        <v>359</v>
      </c>
      <c r="C19" s="5" t="s">
        <v>371</v>
      </c>
    </row>
    <row r="20" spans="1:3" ht="48">
      <c r="A20" s="5">
        <v>19</v>
      </c>
      <c r="B20" s="5" t="s">
        <v>124</v>
      </c>
      <c r="C20" s="5" t="s">
        <v>372</v>
      </c>
    </row>
    <row r="21" spans="1:3" ht="64">
      <c r="A21" s="5">
        <v>20</v>
      </c>
      <c r="B21" s="5" t="s">
        <v>219</v>
      </c>
      <c r="C21" s="5" t="s">
        <v>373</v>
      </c>
    </row>
    <row r="22" spans="1:3" ht="80">
      <c r="A22" s="5">
        <v>21</v>
      </c>
      <c r="B22" s="5" t="s">
        <v>360</v>
      </c>
      <c r="C22" s="5" t="s">
        <v>360</v>
      </c>
    </row>
    <row r="23" spans="1:3" ht="32">
      <c r="A23" s="5">
        <v>22</v>
      </c>
      <c r="B23" s="5" t="s">
        <v>6</v>
      </c>
      <c r="C23" s="5" t="s">
        <v>6</v>
      </c>
    </row>
    <row r="24" spans="1:3" ht="32">
      <c r="A24" s="5">
        <v>23</v>
      </c>
      <c r="B24" s="5" t="s">
        <v>151</v>
      </c>
      <c r="C24" s="5" t="s">
        <v>151</v>
      </c>
    </row>
    <row r="25" spans="1:3" ht="32">
      <c r="A25" s="5">
        <v>24</v>
      </c>
      <c r="B25" s="5" t="s">
        <v>152</v>
      </c>
      <c r="C25" s="5" t="s">
        <v>152</v>
      </c>
    </row>
    <row r="26" spans="1:3" ht="32">
      <c r="A26" s="5">
        <v>25</v>
      </c>
      <c r="B26" s="5" t="s">
        <v>7</v>
      </c>
      <c r="C26" s="5" t="s">
        <v>7</v>
      </c>
    </row>
    <row r="27" spans="1:3" ht="64">
      <c r="A27" s="5">
        <v>26</v>
      </c>
      <c r="B27" s="5" t="s">
        <v>217</v>
      </c>
      <c r="C27" s="5" t="s">
        <v>374</v>
      </c>
    </row>
    <row r="28" spans="1:3" ht="64">
      <c r="A28" s="5">
        <v>27</v>
      </c>
      <c r="B28" s="5" t="s">
        <v>218</v>
      </c>
      <c r="C28" s="5" t="s">
        <v>375</v>
      </c>
    </row>
    <row r="29" spans="1:3" ht="16">
      <c r="A29" s="5">
        <v>28</v>
      </c>
      <c r="B29" s="5" t="s">
        <v>126</v>
      </c>
      <c r="C29" s="5" t="s">
        <v>126</v>
      </c>
    </row>
    <row r="30" spans="1:3" ht="16">
      <c r="A30" s="5">
        <v>29</v>
      </c>
      <c r="B30" s="5" t="s">
        <v>145</v>
      </c>
      <c r="C30" s="5" t="s">
        <v>376</v>
      </c>
    </row>
    <row r="31" spans="1:3" ht="32">
      <c r="A31" s="5">
        <v>30</v>
      </c>
      <c r="B31" s="5" t="s">
        <v>292</v>
      </c>
      <c r="C31" s="5"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Proyectos</vt:lpstr>
      <vt:lpstr>Diccionario</vt:lpstr>
      <vt:lpstr>Variable_Anterior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Ordoñez</cp:lastModifiedBy>
  <dcterms:modified xsi:type="dcterms:W3CDTF">2026-10-20T11:37:09Z</dcterms:modified>
</cp:coreProperties>
</file>